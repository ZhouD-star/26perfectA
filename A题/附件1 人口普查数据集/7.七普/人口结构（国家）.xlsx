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16" windowHeight="8675" activeTab="3"/>
  </bookViews>
  <sheets>
    <sheet name="育龄妇女TFR" sheetId="3" r:id="rId1"/>
    <sheet name="分年龄阶段人口" sheetId="2" r:id="rId2"/>
    <sheet name="original" sheetId="1" r:id="rId3"/>
    <sheet name="出生人口" sheetId="4" r:id="rId4"/>
  </sheets>
  <externalReferences>
    <externalReference r:id="rId5"/>
  </externalReferences>
  <calcPr calcId="144525"/>
</workbook>
</file>

<file path=xl/sharedStrings.xml><?xml version="1.0" encoding="utf-8"?>
<sst xmlns="http://schemas.openxmlformats.org/spreadsheetml/2006/main" count="269" uniqueCount="73">
  <si>
    <t>指标名称</t>
  </si>
  <si>
    <t>抽样数:占总人口比例:女性:15-19岁</t>
  </si>
  <si>
    <t>抽样数:占总人口比例:女性:20-24岁</t>
  </si>
  <si>
    <t>抽样数:占总人口比例:女性:25-29岁</t>
  </si>
  <si>
    <t>抽样数:占总人口比例:女性:30-34岁</t>
  </si>
  <si>
    <t>抽样数:占总人口比例:女性:35-39岁</t>
  </si>
  <si>
    <t>抽样数:占总人口比例:女性:40-44岁</t>
  </si>
  <si>
    <t>抽样数:占总人口比例:女性:45-49岁</t>
  </si>
  <si>
    <t>总人数</t>
  </si>
  <si>
    <t>出生人口</t>
  </si>
  <si>
    <t>TFR</t>
  </si>
  <si>
    <t>根据七普数据调整的出生人口</t>
  </si>
  <si>
    <t>根据七普数据调整的TFR</t>
  </si>
  <si>
    <t>抽样数:占总人口比例:0-4岁</t>
  </si>
  <si>
    <t>抽样数:占总人口比例:5-9岁</t>
  </si>
  <si>
    <t>抽样数:占总人口比例:10-14岁</t>
  </si>
  <si>
    <t>抽样数:占总人口比例:15-19岁</t>
  </si>
  <si>
    <t>抽样数:占总人口比例:20-24岁</t>
  </si>
  <si>
    <t>抽样数:占总人口比例:25-29岁</t>
  </si>
  <si>
    <t>抽样数:占总人口比例:30-34岁</t>
  </si>
  <si>
    <t>抽样数:占总人口比例:35-39岁</t>
  </si>
  <si>
    <t>抽样数:占总人口比例:40-44岁</t>
  </si>
  <si>
    <t>抽样数:占总人口比例:45-49岁</t>
  </si>
  <si>
    <t>抽样数:占总人口比例:50-54岁</t>
  </si>
  <si>
    <t>抽样数:占总人口比例:55-59岁</t>
  </si>
  <si>
    <t>抽样数:占总人口比例:60-64岁</t>
  </si>
  <si>
    <t>抽样数:占总人口比例:65-69岁</t>
  </si>
  <si>
    <t>抽样数:占总人口比例:70-74岁</t>
  </si>
  <si>
    <t>抽样数:占总人口比例:75-79岁</t>
  </si>
  <si>
    <t>抽样数:占总人口比例:80-84岁</t>
  </si>
  <si>
    <t>抽样数:占总人口比例:85-89岁</t>
  </si>
  <si>
    <t>抽样数:占总人口比例:90-94岁</t>
  </si>
  <si>
    <t>抽样数:占总人口比例:95岁以上</t>
  </si>
  <si>
    <t>抽样数:占总人口比例:男性:0-4岁</t>
  </si>
  <si>
    <t>抽样数:占总人口比例:男性:5-9岁</t>
  </si>
  <si>
    <t>抽样数:占总人口比例:男性:10-14岁</t>
  </si>
  <si>
    <t>抽样数:占总人口比例:男性:15-19岁</t>
  </si>
  <si>
    <t>抽样数:占总人口比例:男性:20-24岁</t>
  </si>
  <si>
    <t>抽样数:占总人口比例:男性:25-29岁</t>
  </si>
  <si>
    <t>抽样数:占总人口比例:男性:30-34岁</t>
  </si>
  <si>
    <t>抽样数:占总人口比例:男性:35-39岁</t>
  </si>
  <si>
    <t>抽样数:占总人口比例:男性:40-44岁</t>
  </si>
  <si>
    <t>抽样数:占总人口比例:男性:45-49岁</t>
  </si>
  <si>
    <t>抽样数:占总人口比例:男性:50-54岁</t>
  </si>
  <si>
    <t>抽样数:占总人口比例:男性:55-59岁</t>
  </si>
  <si>
    <t>抽样数:占总人口比例:男性:60-64岁</t>
  </si>
  <si>
    <t>抽样数:占总人口比例:男性:65-69岁</t>
  </si>
  <si>
    <t>抽样数:占总人口比例:男性:70-74岁</t>
  </si>
  <si>
    <t>抽样数:占总人口比例:男性:75-79岁</t>
  </si>
  <si>
    <t>抽样数:占总人口比例:男性:80-84岁</t>
  </si>
  <si>
    <t>抽样数:占总人口比例:男性:85-89岁</t>
  </si>
  <si>
    <t>抽样数:占总人口比例:男性:90-94岁</t>
  </si>
  <si>
    <t>抽样数:占总人口比例:男性:95岁以上</t>
  </si>
  <si>
    <t>抽样数:占总人口比例:女性:0-4岁</t>
  </si>
  <si>
    <t>抽样数:占总人口比例:女性:5-9岁</t>
  </si>
  <si>
    <t>抽样数:占总人口比例:女性:10-14岁</t>
  </si>
  <si>
    <t>抽样数:占总人口比例:女性:50-54岁</t>
  </si>
  <si>
    <t>抽样数:占总人口比例:女性:55-59岁</t>
  </si>
  <si>
    <t>抽样数:占总人口比例:女性:60-64岁</t>
  </si>
  <si>
    <t>抽样数:占总人口比例:女性:65-69岁</t>
  </si>
  <si>
    <t>抽样数:占总人口比例:女性:70-74岁</t>
  </si>
  <si>
    <t>抽样数:占总人口比例:女性:75-79岁</t>
  </si>
  <si>
    <t>抽样数:占总人口比例:女性:80-84岁</t>
  </si>
  <si>
    <t>抽样数:占总人口比例:女性:85-89岁</t>
  </si>
  <si>
    <t>抽样数:占总人口比例:女性:90-94岁</t>
  </si>
  <si>
    <t>抽样数:占总人口比例:女性:95岁以上</t>
  </si>
  <si>
    <t>总人口</t>
  </si>
  <si>
    <t>频率</t>
  </si>
  <si>
    <t>年</t>
  </si>
  <si>
    <t>单位</t>
  </si>
  <si>
    <t>%</t>
  </si>
  <si>
    <t>万人</t>
  </si>
  <si>
    <t>出生人数</t>
  </si>
</sst>
</file>

<file path=xl/styles.xml><?xml version="1.0" encoding="utf-8"?>
<styleSheet xmlns="http://schemas.openxmlformats.org/spreadsheetml/2006/main">
  <numFmts count="10">
    <numFmt numFmtId="176" formatCode="_ * #,##0_ ;_ * \-#,##0_ ;_ * &quot;-&quot;??_ ;_ @_ "/>
    <numFmt numFmtId="177" formatCode="_ * #,##0.0_ ;_ * \-#,##0.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8" formatCode="yyyy\-mm"/>
    <numFmt numFmtId="179" formatCode="###,###,###,##0.0000"/>
    <numFmt numFmtId="43" formatCode="_ * #,##0.00_ ;_ * \-#,##0.00_ ;_ * &quot;-&quot;??_ ;_ @_ "/>
    <numFmt numFmtId="44" formatCode="_ &quot;￥&quot;* #,##0.00_ ;_ &quot;￥&quot;* \-#,##0.00_ ;_ &quot;￥&quot;* &quot;-&quot;??_ ;_ @_ "/>
    <numFmt numFmtId="180" formatCode="###,###,###,##0"/>
    <numFmt numFmtId="181" formatCode="#,##0.0000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5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12" borderId="3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5" fillId="16" borderId="6" applyNumberFormat="0" applyAlignment="0" applyProtection="0">
      <alignment vertical="center"/>
    </xf>
    <xf numFmtId="0" fontId="20" fillId="16" borderId="2" applyNumberFormat="0" applyAlignment="0" applyProtection="0">
      <alignment vertical="center"/>
    </xf>
    <xf numFmtId="0" fontId="13" fillId="14" borderId="4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9" fontId="0" fillId="0" borderId="0" xfId="0" applyNumberFormat="1" applyBorder="1" applyAlignment="1">
      <alignment horizontal="center" vertical="center" wrapText="1"/>
    </xf>
    <xf numFmtId="49" fontId="0" fillId="0" borderId="0" xfId="0" applyNumberFormat="1" applyBorder="1" applyAlignment="1">
      <alignment vertical="top"/>
    </xf>
    <xf numFmtId="178" fontId="0" fillId="0" borderId="0" xfId="0" applyNumberFormat="1" applyBorder="1" applyAlignment="1">
      <alignment vertical="top"/>
    </xf>
    <xf numFmtId="180" fontId="0" fillId="0" borderId="0" xfId="0" applyNumberFormat="1" applyBorder="1" applyAlignment="1">
      <alignment vertical="top" wrapText="1"/>
    </xf>
    <xf numFmtId="179" fontId="0" fillId="0" borderId="0" xfId="0" applyNumberFormat="1" applyBorder="1" applyAlignment="1">
      <alignment vertical="top" wrapText="1"/>
    </xf>
    <xf numFmtId="181" fontId="0" fillId="0" borderId="0" xfId="0" applyNumberFormat="1">
      <alignment vertical="center"/>
    </xf>
    <xf numFmtId="177" fontId="0" fillId="0" borderId="0" xfId="8" applyNumberFormat="1" applyFont="1">
      <alignment vertical="center"/>
    </xf>
    <xf numFmtId="179" fontId="0" fillId="0" borderId="0" xfId="0" applyNumberFormat="1" applyFill="1" applyBorder="1" applyAlignment="1">
      <alignment horizontal="center" vertical="center" wrapText="1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43" fontId="0" fillId="0" borderId="0" xfId="8" applyFont="1">
      <alignment vertical="center"/>
    </xf>
    <xf numFmtId="43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801-&#19971;&#26222;&#25968;&#2545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表1-全国总人口"/>
      <sheetName val="表3-1各地区人口"/>
      <sheetName val="表4-1各地区人口性别构成"/>
      <sheetName val="表5全国及各地区人口年龄结构"/>
      <sheetName val="表6受教育情况"/>
    </sheetNames>
    <sheetDataSet>
      <sheetData sheetId="0"/>
      <sheetData sheetId="1"/>
      <sheetData sheetId="2"/>
      <sheetData sheetId="3">
        <row r="8">
          <cell r="B8">
            <v>253383938</v>
          </cell>
        </row>
        <row r="8">
          <cell r="F8">
            <v>241470000</v>
          </cell>
        </row>
        <row r="9">
          <cell r="B9">
            <v>894376020</v>
          </cell>
        </row>
        <row r="9">
          <cell r="E9">
            <v>330031805.028393</v>
          </cell>
        </row>
        <row r="10">
          <cell r="B10">
            <v>264018766</v>
          </cell>
        </row>
        <row r="11">
          <cell r="B11">
            <v>190635280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K21" sqref="K21"/>
    </sheetView>
  </sheetViews>
  <sheetFormatPr defaultColWidth="9" defaultRowHeight="14.4"/>
  <cols>
    <col min="2" max="8" width="10.1296296296296" customWidth="1"/>
    <col min="9" max="9" width="17.25" customWidth="1"/>
    <col min="10" max="10" width="11.6296296296296" customWidth="1"/>
    <col min="12" max="12" width="11.6296296296296" customWidth="1"/>
  </cols>
  <sheetData>
    <row r="1" ht="72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1">
      <c r="A2" s="4">
        <v>37986</v>
      </c>
      <c r="B2" s="8">
        <f>分年龄阶段人口!AS2</f>
        <v>5169.08</v>
      </c>
      <c r="C2" s="8">
        <f>分年龄阶段人口!AT2</f>
        <v>4380.7953</v>
      </c>
      <c r="D2" s="8">
        <f>分年龄阶段人口!AU2</f>
        <v>4923.5487</v>
      </c>
      <c r="E2" s="8">
        <f>分年龄阶段人口!AV2</f>
        <v>6241.6641</v>
      </c>
      <c r="F2" s="8">
        <f>分年龄阶段人口!AW2</f>
        <v>6138.2825</v>
      </c>
      <c r="G2" s="8">
        <f>分年龄阶段人口!AX2</f>
        <v>5039.853</v>
      </c>
      <c r="H2" s="8">
        <f>分年龄阶段人口!AY2</f>
        <v>4781.399</v>
      </c>
      <c r="I2" s="10">
        <f t="shared" ref="I2:I18" si="0">SUM(B2:H2)</f>
        <v>36674.6226</v>
      </c>
      <c r="J2" s="11">
        <f>出生人口!B58</f>
        <v>1599</v>
      </c>
      <c r="K2" s="12">
        <f t="shared" ref="K2:K19" si="1">J2*30/I2</f>
        <v>1.3079889198369</v>
      </c>
    </row>
    <row r="3" spans="1:11">
      <c r="A3" s="4">
        <v>38352</v>
      </c>
      <c r="B3" s="8">
        <f>分年龄阶段人口!AS3</f>
        <v>5459.496</v>
      </c>
      <c r="C3" s="8">
        <f>分年龄阶段人口!AT3</f>
        <v>4198.6124</v>
      </c>
      <c r="D3" s="8">
        <f>分年龄阶段人口!AU3</f>
        <v>4666.5692</v>
      </c>
      <c r="E3" s="8">
        <f>分年龄阶段人口!AV3</f>
        <v>6109.436</v>
      </c>
      <c r="F3" s="8">
        <f>分年龄阶段人口!AW3</f>
        <v>6330.4156</v>
      </c>
      <c r="G3" s="8">
        <f>分年龄阶段人口!AX3</f>
        <v>5212.5188</v>
      </c>
      <c r="H3" s="8">
        <f>分年龄阶段人口!AY3</f>
        <v>4588.5764</v>
      </c>
      <c r="I3" s="10">
        <f t="shared" si="0"/>
        <v>36565.6244</v>
      </c>
      <c r="J3" s="11">
        <f>出生人口!B59</f>
        <v>1593</v>
      </c>
      <c r="K3" s="12">
        <f t="shared" si="1"/>
        <v>1.30696523809395</v>
      </c>
    </row>
    <row r="4" spans="1:11">
      <c r="A4" s="4">
        <v>38717</v>
      </c>
      <c r="B4" s="8">
        <f>分年龄阶段人口!AS4</f>
        <v>5347.9204</v>
      </c>
      <c r="C4" s="8">
        <f>分年龄阶段人口!AT4</f>
        <v>4131.8896</v>
      </c>
      <c r="D4" s="8">
        <f>分年龄阶段人口!AU4</f>
        <v>4393.4016</v>
      </c>
      <c r="E4" s="8">
        <f>分年龄阶段人口!AV4</f>
        <v>5661.7348</v>
      </c>
      <c r="F4" s="8">
        <f>分年龄阶段人口!AW4</f>
        <v>6459.3464</v>
      </c>
      <c r="G4" s="8">
        <f>分年龄阶段人口!AX4</f>
        <v>5714.0372</v>
      </c>
      <c r="H4" s="8">
        <f>分年龄阶段人口!AY4</f>
        <v>4406.4772</v>
      </c>
      <c r="I4" s="10">
        <f t="shared" si="0"/>
        <v>36114.8072</v>
      </c>
      <c r="J4" s="11">
        <f>出生人口!B60</f>
        <v>1617</v>
      </c>
      <c r="K4" s="12">
        <f t="shared" si="1"/>
        <v>1.34321636361941</v>
      </c>
    </row>
    <row r="5" spans="1:11">
      <c r="A5" s="4">
        <v>39082</v>
      </c>
      <c r="B5" s="8">
        <f>分年龄阶段人口!AS5</f>
        <v>5460.218472</v>
      </c>
      <c r="C5" s="8">
        <f>分年龄阶段人口!AT5</f>
        <v>4286.124936</v>
      </c>
      <c r="D5" s="8">
        <f>分年龄阶段人口!AU5</f>
        <v>4214.748672</v>
      </c>
      <c r="E5" s="8">
        <f>分年龄阶段人口!AV5</f>
        <v>5243.986512</v>
      </c>
      <c r="F5" s="8">
        <f>分年龄阶段人口!AW5</f>
        <v>6383.509224</v>
      </c>
      <c r="G5" s="8">
        <f>分年龄阶段人口!AX5</f>
        <v>6448.050192</v>
      </c>
      <c r="H5" s="8">
        <f>分年龄阶段人口!AY5</f>
        <v>4215.274464</v>
      </c>
      <c r="I5" s="10">
        <f t="shared" si="0"/>
        <v>36251.912472</v>
      </c>
      <c r="J5" s="11">
        <f>出生人口!B61</f>
        <v>1584</v>
      </c>
      <c r="K5" s="12">
        <f t="shared" si="1"/>
        <v>1.3108273952913</v>
      </c>
    </row>
    <row r="6" spans="1:11">
      <c r="A6" s="4">
        <v>39447</v>
      </c>
      <c r="B6" s="8">
        <f>分年龄阶段人口!AS6</f>
        <v>5166.2439</v>
      </c>
      <c r="C6" s="8">
        <f>分年龄阶段人口!AT6</f>
        <v>4452.7473</v>
      </c>
      <c r="D6" s="8">
        <f>分年龄阶段人口!AU6</f>
        <v>4386.6828</v>
      </c>
      <c r="E6" s="8">
        <f>分年龄阶段人口!AV6</f>
        <v>4901.9859</v>
      </c>
      <c r="F6" s="8">
        <f>分年龄阶段人口!AW6</f>
        <v>6474.321</v>
      </c>
      <c r="G6" s="8">
        <f>分年龄阶段人口!AX6</f>
        <v>6474.321</v>
      </c>
      <c r="H6" s="8">
        <f>分年龄阶段人口!AY6</f>
        <v>4241.3409</v>
      </c>
      <c r="I6" s="10">
        <f t="shared" si="0"/>
        <v>36097.6428</v>
      </c>
      <c r="J6" s="11">
        <f>出生人口!B62</f>
        <v>1594</v>
      </c>
      <c r="K6" s="12">
        <f t="shared" si="1"/>
        <v>1.32474024037935</v>
      </c>
    </row>
    <row r="7" spans="1:11">
      <c r="A7" s="4">
        <v>39813</v>
      </c>
      <c r="B7" s="8">
        <f>分年龄阶段人口!AS7</f>
        <v>4887.1136</v>
      </c>
      <c r="C7" s="8">
        <f>分年龄阶段人口!AT7</f>
        <v>4608.2294</v>
      </c>
      <c r="D7" s="8">
        <f>分年龄阶段人口!AU7</f>
        <v>4382.466</v>
      </c>
      <c r="E7" s="8">
        <f>分年龄阶段人口!AV7</f>
        <v>4661.3502</v>
      </c>
      <c r="F7" s="8">
        <f>分年龄阶段人口!AW7</f>
        <v>6228.4138</v>
      </c>
      <c r="G7" s="8">
        <f>分年龄阶段人口!AX7</f>
        <v>6427.6168</v>
      </c>
      <c r="H7" s="8">
        <f>分年龄阶段人口!AY7</f>
        <v>4807.4324</v>
      </c>
      <c r="I7" s="10">
        <f t="shared" si="0"/>
        <v>36002.6222</v>
      </c>
      <c r="J7" s="11">
        <f>出生人口!B63</f>
        <v>1608</v>
      </c>
      <c r="K7" s="12">
        <f t="shared" si="1"/>
        <v>1.33990240299775</v>
      </c>
    </row>
    <row r="8" spans="1:11">
      <c r="A8" s="4">
        <v>40178</v>
      </c>
      <c r="B8" s="8">
        <f>分年龄阶段人口!AS8</f>
        <v>4510.61</v>
      </c>
      <c r="C8" s="8">
        <f>分年龄阶段人口!AT8</f>
        <v>5004.375</v>
      </c>
      <c r="D8" s="8">
        <f>分年龄阶段人口!AU8</f>
        <v>4323.78</v>
      </c>
      <c r="E8" s="8">
        <f>分年龄阶段人口!AV8</f>
        <v>4577.335</v>
      </c>
      <c r="F8" s="8">
        <f>分年龄阶段人口!AW8</f>
        <v>6125.355</v>
      </c>
      <c r="G8" s="8">
        <f>分年龄阶段人口!AX8</f>
        <v>6472.325</v>
      </c>
      <c r="H8" s="8">
        <f>分年龄阶段人口!AY8</f>
        <v>5351.345</v>
      </c>
      <c r="I8" s="10">
        <f t="shared" si="0"/>
        <v>36365.125</v>
      </c>
      <c r="J8" s="11">
        <f>出生人口!B64</f>
        <v>1615</v>
      </c>
      <c r="K8" s="12">
        <f t="shared" si="1"/>
        <v>1.33232045813125</v>
      </c>
    </row>
    <row r="9" spans="1:11">
      <c r="A9" s="4">
        <v>40543</v>
      </c>
      <c r="B9" s="8">
        <f>分年龄阶段人口!AS9</f>
        <v>0</v>
      </c>
      <c r="C9" s="8">
        <f>分年龄阶段人口!AT9</f>
        <v>0</v>
      </c>
      <c r="D9" s="8">
        <f>分年龄阶段人口!AU9</f>
        <v>0</v>
      </c>
      <c r="E9" s="8">
        <f>分年龄阶段人口!AV9</f>
        <v>0</v>
      </c>
      <c r="F9" s="8">
        <f>分年龄阶段人口!AW9</f>
        <v>0</v>
      </c>
      <c r="G9" s="8">
        <f>分年龄阶段人口!AX9</f>
        <v>0</v>
      </c>
      <c r="H9" s="8">
        <f>分年龄阶段人口!AY9</f>
        <v>0</v>
      </c>
      <c r="I9" s="10">
        <f t="shared" si="0"/>
        <v>0</v>
      </c>
      <c r="J9" s="11">
        <f>出生人口!B65</f>
        <v>1588</v>
      </c>
      <c r="K9" s="12" t="e">
        <f t="shared" si="1"/>
        <v>#DIV/0!</v>
      </c>
    </row>
    <row r="10" spans="1:13">
      <c r="A10" s="4">
        <v>40908</v>
      </c>
      <c r="B10" s="8">
        <f>分年龄阶段人口!AS10</f>
        <v>4513.6225</v>
      </c>
      <c r="C10" s="8">
        <f>分年龄阶段人口!AT10</f>
        <v>6278.651</v>
      </c>
      <c r="D10" s="8">
        <f>分年龄阶段人口!AU10</f>
        <v>5214.2445</v>
      </c>
      <c r="E10" s="8">
        <f>分年龄阶段人口!AV10</f>
        <v>4729.1985</v>
      </c>
      <c r="F10" s="8">
        <f>分年龄阶段人口!AW10</f>
        <v>5564.5555</v>
      </c>
      <c r="G10" s="8">
        <f>分年龄阶段人口!AX10</f>
        <v>6184.3365</v>
      </c>
      <c r="H10" s="8">
        <f>分年龄阶段人口!AY10</f>
        <v>5820.552</v>
      </c>
      <c r="I10" s="10">
        <f t="shared" si="0"/>
        <v>38305.1605</v>
      </c>
      <c r="J10" s="11">
        <f>出生人口!B66</f>
        <v>1604</v>
      </c>
      <c r="K10" s="12">
        <f t="shared" si="1"/>
        <v>1.25622760411094</v>
      </c>
      <c r="L10" s="13">
        <f>J10*[1]表5全国及各地区人口年龄结构!$B$8/[1]表5全国及各地区人口年龄结构!$F$8/(1-0.242%)</f>
        <v>1687.22316600201</v>
      </c>
      <c r="M10" s="12">
        <f t="shared" ref="M10:M19" si="2">L10/I10*30</f>
        <v>1.32140668044088</v>
      </c>
    </row>
    <row r="11" spans="1:13">
      <c r="A11" s="4">
        <v>41274</v>
      </c>
      <c r="B11" s="8">
        <f>分年龄阶段人口!AS11</f>
        <v>4211.0644</v>
      </c>
      <c r="C11" s="8">
        <f>分年龄阶段人口!AT11</f>
        <v>5984.8568</v>
      </c>
      <c r="D11" s="8">
        <f>分年龄阶段人口!AU11</f>
        <v>5375.5388</v>
      </c>
      <c r="E11" s="8">
        <f>分年龄阶段人口!AV11</f>
        <v>4942.246</v>
      </c>
      <c r="F11" s="8">
        <f>分年龄阶段人口!AW11</f>
        <v>5240.1348</v>
      </c>
      <c r="G11" s="8">
        <f>分年龄阶段人口!AX11</f>
        <v>6336.9072</v>
      </c>
      <c r="H11" s="8">
        <f>分年龄阶段人口!AY11</f>
        <v>5862.9932</v>
      </c>
      <c r="I11" s="10">
        <f t="shared" si="0"/>
        <v>37953.7412</v>
      </c>
      <c r="J11" s="11">
        <f>出生人口!B67</f>
        <v>1635</v>
      </c>
      <c r="K11" s="12">
        <f t="shared" si="1"/>
        <v>1.29236271442985</v>
      </c>
      <c r="L11" s="13">
        <f>J11*[1]表5全国及各地区人口年龄结构!$B$8/[1]表5全国及各地区人口年龄结构!$F$8/(1-0.242%)</f>
        <v>1719.83159377387</v>
      </c>
      <c r="M11" s="12">
        <f t="shared" si="2"/>
        <v>1.35941665253322</v>
      </c>
    </row>
    <row r="12" spans="1:13">
      <c r="A12" s="4">
        <v>41639</v>
      </c>
      <c r="B12" s="8">
        <f>分年龄阶段人口!AS12</f>
        <v>3959.6952</v>
      </c>
      <c r="C12" s="8">
        <f>分年龄阶段人口!AT12</f>
        <v>5646.988</v>
      </c>
      <c r="D12" s="8">
        <f>分年龄阶段人口!AU12</f>
        <v>5646.988</v>
      </c>
      <c r="E12" s="8">
        <f>分年龄阶段人口!AV12</f>
        <v>4953.0208</v>
      </c>
      <c r="F12" s="8">
        <f>分年龄阶段人口!AW12</f>
        <v>5021.0568</v>
      </c>
      <c r="G12" s="8">
        <f>分年龄阶段人口!AX12</f>
        <v>6177.6688</v>
      </c>
      <c r="H12" s="8">
        <f>分年龄阶段人口!AY12</f>
        <v>5864.7032</v>
      </c>
      <c r="I12" s="10">
        <f t="shared" si="0"/>
        <v>37270.1208</v>
      </c>
      <c r="J12" s="11">
        <f>出生人口!B68</f>
        <v>1640</v>
      </c>
      <c r="K12" s="12">
        <f t="shared" si="1"/>
        <v>1.32009231373353</v>
      </c>
      <c r="L12" s="13">
        <f>J12*[1]表5全国及各地区人口年龄结构!$B$8/[1]表5全国及各地区人口年龄结构!$F$8/(1-0.242%)</f>
        <v>1725.09101760804</v>
      </c>
      <c r="M12" s="12">
        <f t="shared" si="2"/>
        <v>1.38858499563117</v>
      </c>
    </row>
    <row r="13" spans="1:13">
      <c r="A13" s="4">
        <v>42004</v>
      </c>
      <c r="B13" s="8">
        <f>分年龄阶段人口!AS13</f>
        <v>3665.7576</v>
      </c>
      <c r="C13" s="8">
        <f>分年龄阶段人口!AT13</f>
        <v>5334.498</v>
      </c>
      <c r="D13" s="8">
        <f>分年龄阶段人口!AU13</f>
        <v>5963.6952</v>
      </c>
      <c r="E13" s="8">
        <f>分年龄阶段人口!AV13</f>
        <v>4965.1866</v>
      </c>
      <c r="F13" s="8">
        <f>分年龄阶段人口!AW13</f>
        <v>4869.4392</v>
      </c>
      <c r="G13" s="8">
        <f>分年龄阶段人口!AX13</f>
        <v>6073.1208</v>
      </c>
      <c r="H13" s="8">
        <f>分年龄阶段人口!AY13</f>
        <v>5936.3388</v>
      </c>
      <c r="I13" s="10">
        <f t="shared" si="0"/>
        <v>36808.0362</v>
      </c>
      <c r="J13" s="11">
        <f>出生人口!B69</f>
        <v>1687</v>
      </c>
      <c r="K13" s="12">
        <f t="shared" si="1"/>
        <v>1.37497147973355</v>
      </c>
      <c r="L13" s="13">
        <f>J13*[1]表5全国及各地区人口年龄结构!$B$8/[1]表5全国及各地区人口年龄结构!$F$8/(1-0.242%)</f>
        <v>1774.52960164924</v>
      </c>
      <c r="M13" s="12">
        <f t="shared" si="2"/>
        <v>1.44631155436316</v>
      </c>
    </row>
    <row r="14" spans="1:13">
      <c r="A14" s="4">
        <v>42369</v>
      </c>
      <c r="B14" s="8">
        <f>分年龄阶段人口!AS14</f>
        <v>3477.7886</v>
      </c>
      <c r="C14" s="8">
        <f>分年龄阶段人口!AT14</f>
        <v>4811.17</v>
      </c>
      <c r="D14" s="8">
        <f>分年龄阶段人口!AU14</f>
        <v>6350.7444</v>
      </c>
      <c r="E14" s="8">
        <f>分年龄阶段人口!AV14</f>
        <v>5017.363</v>
      </c>
      <c r="F14" s="8">
        <f>分年龄阶段人口!AW14</f>
        <v>4769.9314</v>
      </c>
      <c r="G14" s="8">
        <f>分年龄阶段人口!AX14</f>
        <v>5759.6578</v>
      </c>
      <c r="H14" s="8">
        <f>分年龄阶段人口!AY14</f>
        <v>6089.5666</v>
      </c>
      <c r="I14" s="10">
        <f t="shared" si="0"/>
        <v>36276.2218</v>
      </c>
      <c r="J14" s="11">
        <f>出生人口!B70</f>
        <v>1655</v>
      </c>
      <c r="K14" s="12">
        <f t="shared" si="1"/>
        <v>1.36866513480188</v>
      </c>
      <c r="L14" s="13">
        <f>J14*[1]表5全国及各地区人口年龄结构!$B$8/[1]表5全国及各地区人口年龄结构!$F$8/(1-0.242%)</f>
        <v>1740.86928911055</v>
      </c>
      <c r="M14" s="12">
        <f t="shared" si="2"/>
        <v>1.43967800619514</v>
      </c>
    </row>
    <row r="15" spans="1:13">
      <c r="A15" s="4">
        <v>42735</v>
      </c>
      <c r="B15" s="8">
        <f>分年龄阶段人口!AS15</f>
        <v>3387.6395</v>
      </c>
      <c r="C15" s="8">
        <f>分年龄阶段人口!AT15</f>
        <v>4507.6346</v>
      </c>
      <c r="D15" s="8">
        <f>分年龄阶段人口!AU15</f>
        <v>6263.6763</v>
      </c>
      <c r="E15" s="8">
        <f>分年龄阶段人口!AV15</f>
        <v>5198.9896</v>
      </c>
      <c r="F15" s="8">
        <f>分年龄阶段人口!AW15</f>
        <v>4715.0411</v>
      </c>
      <c r="G15" s="8">
        <f>分年龄阶段人口!AX15</f>
        <v>5544.6671</v>
      </c>
      <c r="H15" s="8">
        <f>分年龄阶段人口!AY15</f>
        <v>6139.2324</v>
      </c>
      <c r="I15" s="10">
        <f t="shared" si="0"/>
        <v>35756.8806</v>
      </c>
      <c r="J15" s="11">
        <f>出生人口!B71</f>
        <v>1786</v>
      </c>
      <c r="K15" s="12">
        <f t="shared" si="1"/>
        <v>1.49845286000703</v>
      </c>
      <c r="L15" s="13">
        <f>J15*[1]表5全国及各地区人口年龄结构!$B$8/[1]表5全国及各地区人口年龄结构!$F$8/(1-0.242%)</f>
        <v>1878.66619356583</v>
      </c>
      <c r="M15" s="12">
        <f t="shared" si="2"/>
        <v>1.57619973726049</v>
      </c>
    </row>
    <row r="16" spans="1:13">
      <c r="A16" s="4">
        <v>43100</v>
      </c>
      <c r="B16" s="8">
        <f>分年龄阶段人口!AS16</f>
        <v>3308.3904</v>
      </c>
      <c r="C16" s="8">
        <f>分年龄阶段人口!AT16</f>
        <v>4211.9424</v>
      </c>
      <c r="D16" s="8">
        <f>分年龄阶段人口!AU16</f>
        <v>5977.344</v>
      </c>
      <c r="E16" s="8">
        <f>分年龄阶段人口!AV16</f>
        <v>5365.7088</v>
      </c>
      <c r="F16" s="8">
        <f>分年龄阶段人口!AW16</f>
        <v>4934.784</v>
      </c>
      <c r="G16" s="8">
        <f>分年龄阶段人口!AX16</f>
        <v>5212.8</v>
      </c>
      <c r="H16" s="8">
        <f>分年龄阶段人口!AY16</f>
        <v>6283.1616</v>
      </c>
      <c r="I16" s="10">
        <f t="shared" si="0"/>
        <v>35294.1312</v>
      </c>
      <c r="J16" s="11">
        <f>出生人口!B72</f>
        <v>1723</v>
      </c>
      <c r="K16" s="12">
        <f t="shared" si="1"/>
        <v>1.46454943761302</v>
      </c>
      <c r="L16" s="13">
        <f>J16*[1]表5全国及各地区人口年龄结构!$B$8/[1]表5全国及各地区人口年龄结构!$F$8/(1-0.242%)</f>
        <v>1812.39745325527</v>
      </c>
      <c r="M16" s="12">
        <f t="shared" si="2"/>
        <v>1.54053724370068</v>
      </c>
    </row>
    <row r="17" spans="1:13">
      <c r="A17" s="4">
        <v>43465</v>
      </c>
      <c r="B17" s="8">
        <f>分年龄阶段人口!AS17</f>
        <v>3251.2354</v>
      </c>
      <c r="C17" s="8">
        <f>分年龄阶段人口!AT17</f>
        <v>3893.1102</v>
      </c>
      <c r="D17" s="8">
        <f>分年龄阶段人口!AU17</f>
        <v>5511.751</v>
      </c>
      <c r="E17" s="8">
        <f>分年龄阶段人口!AV17</f>
        <v>5651.289</v>
      </c>
      <c r="F17" s="8">
        <f>分年龄阶段人口!AW17</f>
        <v>4925.6914</v>
      </c>
      <c r="G17" s="8">
        <f>分年龄阶段人口!AX17</f>
        <v>4995.4604</v>
      </c>
      <c r="H17" s="8">
        <f>分年龄阶段人口!AY17</f>
        <v>6125.7182</v>
      </c>
      <c r="I17" s="10">
        <f t="shared" si="0"/>
        <v>34354.2556</v>
      </c>
      <c r="J17" s="11">
        <f>出生人口!B73</f>
        <v>1523</v>
      </c>
      <c r="K17" s="12">
        <f t="shared" si="1"/>
        <v>1.32996623568231</v>
      </c>
      <c r="L17" s="13">
        <f>J17*[1]表5全国及各地区人口年龄结构!$B$8/[1]表5全国及各地区人口年龄结构!$F$8/(1-0.242%)</f>
        <v>1602.02049988844</v>
      </c>
      <c r="M17" s="12">
        <f t="shared" si="2"/>
        <v>1.39897122371801</v>
      </c>
    </row>
    <row r="18" spans="1:13">
      <c r="A18" s="4">
        <v>43830</v>
      </c>
      <c r="B18" s="8">
        <f>分年龄阶段人口!AS18</f>
        <v>3276.117</v>
      </c>
      <c r="C18" s="8">
        <f>分年龄阶段人口!AT18</f>
        <v>3682.1315</v>
      </c>
      <c r="D18" s="8">
        <f>分年龄阶段人口!AU18</f>
        <v>5068.181</v>
      </c>
      <c r="E18" s="8">
        <f>分年龄阶段人口!AV18</f>
        <v>5992.214</v>
      </c>
      <c r="F18" s="8">
        <f>分年龄阶段人口!AW18</f>
        <v>4928.176</v>
      </c>
      <c r="G18" s="8">
        <f>分年龄阶段人口!AX18</f>
        <v>4844.173</v>
      </c>
      <c r="H18" s="8">
        <f>分年龄阶段人口!AY18</f>
        <v>6020.215</v>
      </c>
      <c r="I18" s="10">
        <f t="shared" si="0"/>
        <v>33811.2075</v>
      </c>
      <c r="J18" s="11">
        <f>出生人口!B74</f>
        <v>1465</v>
      </c>
      <c r="K18" s="12">
        <f t="shared" si="1"/>
        <v>1.2998648451109</v>
      </c>
      <c r="L18" s="13">
        <f>J18*[1]表5全国及各地区人口年龄结构!$B$8/[1]表5全国及各地区人口年龄结构!$F$8/(1-0.242%)</f>
        <v>1541.01118341206</v>
      </c>
      <c r="M18" s="12">
        <f t="shared" si="2"/>
        <v>1.36730802951541</v>
      </c>
    </row>
    <row r="19" spans="1:13">
      <c r="A19" s="4">
        <v>44196</v>
      </c>
      <c r="B19" s="8">
        <f>分年龄阶段人口!AS19</f>
        <v>0</v>
      </c>
      <c r="C19" s="8">
        <f>分年龄阶段人口!AT19</f>
        <v>0</v>
      </c>
      <c r="D19" s="8">
        <f>分年龄阶段人口!AU19</f>
        <v>0</v>
      </c>
      <c r="E19" s="8">
        <f>分年龄阶段人口!AV19</f>
        <v>0</v>
      </c>
      <c r="F19" s="8">
        <f>分年龄阶段人口!AW19</f>
        <v>0</v>
      </c>
      <c r="G19" s="8">
        <f>分年龄阶段人口!AX19</f>
        <v>0</v>
      </c>
      <c r="H19" s="8">
        <f>分年龄阶段人口!AY19</f>
        <v>0</v>
      </c>
      <c r="I19" s="10">
        <f>[1]表5全国及各地区人口年龄结构!$E$9/10000</f>
        <v>33003.1805028393</v>
      </c>
      <c r="J19">
        <f>1200*12/10</f>
        <v>1440</v>
      </c>
      <c r="K19" s="12">
        <f t="shared" si="1"/>
        <v>1.30896475254206</v>
      </c>
      <c r="L19" s="13">
        <f>J19*[1]表5全国及各地区人口年龄结构!$B$8/[1]表5全国及各地区人口年龄结构!$F$8/(1-0.242%)</f>
        <v>1514.7140642412</v>
      </c>
      <c r="M19" s="12">
        <f t="shared" si="2"/>
        <v>1.37688008352185</v>
      </c>
    </row>
    <row r="20" spans="9:9">
      <c r="I20" s="10"/>
    </row>
    <row r="21" spans="9:9">
      <c r="I21" s="10"/>
    </row>
    <row r="22" spans="9:9">
      <c r="I22" s="10"/>
    </row>
    <row r="23" spans="9:9">
      <c r="I23" s="10"/>
    </row>
    <row r="24" spans="9:9">
      <c r="I24" s="10"/>
    </row>
    <row r="25" spans="9:9">
      <c r="I25" s="10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19"/>
  <sheetViews>
    <sheetView workbookViewId="0">
      <pane xSplit="1" ySplit="1" topLeftCell="B14" activePane="bottomRight" state="frozen"/>
      <selection/>
      <selection pane="topRight"/>
      <selection pane="bottomLeft"/>
      <selection pane="bottomRight" activeCell="B19" sqref="B19:D19"/>
    </sheetView>
  </sheetViews>
  <sheetFormatPr defaultColWidth="9" defaultRowHeight="14.4"/>
  <cols>
    <col min="2" max="2" width="14.1296296296296" customWidth="1"/>
    <col min="3" max="4" width="10.6296296296296" customWidth="1"/>
    <col min="5" max="5" width="13.3796296296296" customWidth="1"/>
    <col min="6" max="13" width="11.5" customWidth="1"/>
    <col min="14" max="14" width="10.25" customWidth="1"/>
    <col min="15" max="15" width="11.25" customWidth="1"/>
  </cols>
  <sheetData>
    <row r="1" ht="72" spans="1:63">
      <c r="A1" s="2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  <c r="AC1" s="2" t="s">
        <v>40</v>
      </c>
      <c r="AD1" s="2" t="s">
        <v>41</v>
      </c>
      <c r="AE1" s="2" t="s">
        <v>42</v>
      </c>
      <c r="AF1" s="2" t="s">
        <v>43</v>
      </c>
      <c r="AG1" s="2" t="s">
        <v>44</v>
      </c>
      <c r="AH1" s="2" t="s">
        <v>45</v>
      </c>
      <c r="AI1" s="2" t="s">
        <v>46</v>
      </c>
      <c r="AJ1" s="2" t="s">
        <v>47</v>
      </c>
      <c r="AK1" s="2" t="s">
        <v>48</v>
      </c>
      <c r="AL1" s="2" t="s">
        <v>49</v>
      </c>
      <c r="AM1" s="2" t="s">
        <v>50</v>
      </c>
      <c r="AN1" s="2" t="s">
        <v>51</v>
      </c>
      <c r="AO1" s="2" t="s">
        <v>52</v>
      </c>
      <c r="AP1" s="2" t="s">
        <v>53</v>
      </c>
      <c r="AQ1" s="2" t="s">
        <v>54</v>
      </c>
      <c r="AR1" s="2" t="s">
        <v>55</v>
      </c>
      <c r="AS1" s="2" t="s">
        <v>1</v>
      </c>
      <c r="AT1" s="2" t="s">
        <v>2</v>
      </c>
      <c r="AU1" s="2" t="s">
        <v>3</v>
      </c>
      <c r="AV1" s="2" t="s">
        <v>4</v>
      </c>
      <c r="AW1" s="2" t="s">
        <v>5</v>
      </c>
      <c r="AX1" s="2" t="s">
        <v>6</v>
      </c>
      <c r="AY1" s="2" t="s">
        <v>7</v>
      </c>
      <c r="AZ1" s="2" t="s">
        <v>56</v>
      </c>
      <c r="BA1" s="2" t="s">
        <v>57</v>
      </c>
      <c r="BB1" s="2" t="s">
        <v>58</v>
      </c>
      <c r="BC1" s="2" t="s">
        <v>59</v>
      </c>
      <c r="BD1" s="2" t="s">
        <v>60</v>
      </c>
      <c r="BE1" s="2" t="s">
        <v>61</v>
      </c>
      <c r="BF1" s="2" t="s">
        <v>62</v>
      </c>
      <c r="BG1" s="2" t="s">
        <v>63</v>
      </c>
      <c r="BH1" s="2" t="s">
        <v>64</v>
      </c>
      <c r="BI1" s="2" t="s">
        <v>65</v>
      </c>
      <c r="BJ1" s="2"/>
      <c r="BK1" s="2"/>
    </row>
    <row r="2" spans="1:61">
      <c r="A2" s="4">
        <v>37986</v>
      </c>
      <c r="B2" s="8">
        <f>original!B58/100*original!$BK58</f>
        <v>6525.9635</v>
      </c>
      <c r="C2" s="8">
        <f>original!C58/100*original!$BK58</f>
        <v>8477.2912</v>
      </c>
      <c r="D2" s="8">
        <f>original!D58/100*original!$BK58</f>
        <v>11320.2852</v>
      </c>
      <c r="E2" s="8">
        <f>original!E58/100*original!$BK58</f>
        <v>10816.2999</v>
      </c>
      <c r="F2" s="8">
        <f>original!F58/100*original!$BK58</f>
        <v>8774.5133</v>
      </c>
      <c r="G2" s="8">
        <f>original!G58/100*original!$BK58</f>
        <v>9821.252</v>
      </c>
      <c r="H2" s="8">
        <f>original!H58/100*original!$BK58</f>
        <v>12547.9417</v>
      </c>
      <c r="I2" s="8">
        <f>original!I58/100*original!$BK58</f>
        <v>12418.7147</v>
      </c>
      <c r="J2" s="8">
        <f>original!J58/100*original!$BK58</f>
        <v>9614.4888</v>
      </c>
      <c r="K2" s="8">
        <f>original!K58/100*original!$BK58</f>
        <v>9679.1023</v>
      </c>
      <c r="L2" s="8">
        <f>original!L58/100*original!$BK58</f>
        <v>8167.1464</v>
      </c>
      <c r="M2" s="8">
        <f>original!M58/100*original!$BK58</f>
        <v>5724.7561</v>
      </c>
      <c r="N2" s="8">
        <f>original!N58/100*original!$BK58</f>
        <v>4678.0174</v>
      </c>
      <c r="O2" s="8">
        <f>original!O58/100*original!$BK58</f>
        <v>4251.5683</v>
      </c>
      <c r="P2" s="8">
        <f>original!P58/100*original!$BK58</f>
        <v>3191.9069</v>
      </c>
      <c r="Q2" s="8">
        <f>original!Q58/100*original!$BK58</f>
        <v>1899.6369</v>
      </c>
      <c r="R2" s="8">
        <f>original!R58/100*original!$BK58</f>
        <v>969.2025</v>
      </c>
      <c r="S2" s="8">
        <f>original!S58/100*original!$BK58</f>
        <v>348.9129</v>
      </c>
      <c r="T2" s="8">
        <f>original!T58/100*original!$BK58</f>
        <v>103.3816</v>
      </c>
      <c r="U2" s="8">
        <f>original!U58/100*original!$BK58</f>
        <v>25.8454</v>
      </c>
      <c r="V2" s="8">
        <f>original!V58/100*original!$BK58</f>
        <v>3527.8971</v>
      </c>
      <c r="W2" s="8">
        <f>original!W58/100*original!$BK58</f>
        <v>4587.5585</v>
      </c>
      <c r="X2" s="8">
        <f>original!X58/100*original!$BK58</f>
        <v>5957.3647</v>
      </c>
      <c r="Y2" s="8">
        <f>original!Y58/100*original!$BK58</f>
        <v>5634.2972</v>
      </c>
      <c r="Z2" s="8">
        <f>original!Z58/100*original!$BK58</f>
        <v>4406.6407</v>
      </c>
      <c r="AA2" s="8">
        <f>original!AA58/100*original!$BK58</f>
        <v>4923.5487</v>
      </c>
      <c r="AB2" s="8">
        <f>original!AB58/100*original!$BK58</f>
        <v>6332.123</v>
      </c>
      <c r="AC2" s="8">
        <f>original!AC58/100*original!$BK58</f>
        <v>6280.4322</v>
      </c>
      <c r="AD2" s="8">
        <f>original!AD58/100*original!$BK58</f>
        <v>4923.5487</v>
      </c>
      <c r="AE2" s="8">
        <f>original!AE58/100*original!$BK58</f>
        <v>4884.7806</v>
      </c>
      <c r="AF2" s="8">
        <f>original!AF58/100*original!$BK58</f>
        <v>4122.3413</v>
      </c>
      <c r="AG2" s="8">
        <f>original!AG58/100*original!$BK58</f>
        <v>2881.7621</v>
      </c>
      <c r="AH2" s="8">
        <f>original!AH58/100*original!$BK58</f>
        <v>2364.8541</v>
      </c>
      <c r="AI2" s="8">
        <f>original!AI58/100*original!$BK58</f>
        <v>2132.2455</v>
      </c>
      <c r="AJ2" s="8">
        <f>original!AJ58/100*original!$BK58</f>
        <v>1602.4148</v>
      </c>
      <c r="AK2" s="8">
        <f>original!AK58/100*original!$BK58</f>
        <v>904.589</v>
      </c>
      <c r="AL2" s="8">
        <f>original!AL58/100*original!$BK58</f>
        <v>439.3718</v>
      </c>
      <c r="AM2" s="8">
        <f>original!AM58/100*original!$BK58</f>
        <v>516.908</v>
      </c>
      <c r="AN2" s="8">
        <f>original!AN58/100*original!$BK58</f>
        <v>38.7681</v>
      </c>
      <c r="AO2" s="8">
        <f>original!AO58/100*original!$BK58</f>
        <v>0</v>
      </c>
      <c r="AP2" s="8">
        <f>original!AP58/100*original!$BK58</f>
        <v>3359.902</v>
      </c>
      <c r="AQ2" s="8">
        <f>original!AQ58/100*original!$BK58</f>
        <v>3876.81</v>
      </c>
      <c r="AR2" s="8">
        <f>original!AR58/100*original!$BK58</f>
        <v>5388.7659</v>
      </c>
      <c r="AS2" s="8">
        <f>original!AS58/100*original!$BK58</f>
        <v>5169.08</v>
      </c>
      <c r="AT2" s="8">
        <f>original!AT58/100*original!$BK58</f>
        <v>4380.7953</v>
      </c>
      <c r="AU2" s="8">
        <f>original!AU58/100*original!$BK58</f>
        <v>4923.5487</v>
      </c>
      <c r="AV2" s="8">
        <f>original!AV58/100*original!$BK58</f>
        <v>6241.6641</v>
      </c>
      <c r="AW2" s="8">
        <f>original!AW58/100*original!$BK58</f>
        <v>6138.2825</v>
      </c>
      <c r="AX2" s="8">
        <f>original!AX58/100*original!$BK58</f>
        <v>5039.853</v>
      </c>
      <c r="AY2" s="8">
        <f>original!AY58/100*original!$BK58</f>
        <v>4781.399</v>
      </c>
      <c r="AZ2" s="8">
        <f>original!AZ58/100*original!$BK58</f>
        <v>4096.4959</v>
      </c>
      <c r="BA2" s="8">
        <f>original!BA58/100*original!$BK58</f>
        <v>2855.9167</v>
      </c>
      <c r="BB2" s="8">
        <f>original!BB58/100*original!$BK58</f>
        <v>2326.086</v>
      </c>
      <c r="BC2" s="8">
        <f>original!BC58/100*original!$BK58</f>
        <v>2145.1682</v>
      </c>
      <c r="BD2" s="8">
        <f>original!BD58/100*original!$BK58</f>
        <v>1576.5694</v>
      </c>
      <c r="BE2" s="8">
        <f>original!BE58/100*original!$BK58</f>
        <v>1020.8933</v>
      </c>
      <c r="BF2" s="8">
        <f>original!BF58/100*original!$BK58</f>
        <v>542.7534</v>
      </c>
      <c r="BG2" s="8">
        <f>original!BG58/100*original!$BK58</f>
        <v>219.6859</v>
      </c>
      <c r="BH2" s="8">
        <f>original!BH58/100*original!$BK58</f>
        <v>64.6135</v>
      </c>
      <c r="BI2" s="8">
        <f>original!BI58/100*original!$BK58</f>
        <v>12.9227</v>
      </c>
    </row>
    <row r="3" spans="1:61">
      <c r="A3" s="4">
        <v>38352</v>
      </c>
      <c r="B3" s="8">
        <f>original!B59/100*original!$BK59</f>
        <v>6434.406</v>
      </c>
      <c r="C3" s="8">
        <f>original!C59/100*original!$BK59</f>
        <v>7916.2692</v>
      </c>
      <c r="D3" s="8">
        <f>original!D59/100*original!$BK59</f>
        <v>10789.004</v>
      </c>
      <c r="E3" s="8">
        <f>original!E59/100*original!$BK59</f>
        <v>11334.9536</v>
      </c>
      <c r="F3" s="8">
        <f>original!F59/100*original!$BK59</f>
        <v>8254.238</v>
      </c>
      <c r="G3" s="8">
        <f>original!G59/100*original!$BK59</f>
        <v>9177.1528</v>
      </c>
      <c r="H3" s="8">
        <f>original!H59/100*original!$BK59</f>
        <v>12231.8708</v>
      </c>
      <c r="I3" s="8">
        <f>original!I59/100*original!$BK59</f>
        <v>12712.8264</v>
      </c>
      <c r="J3" s="8">
        <f>original!J59/100*original!$BK59</f>
        <v>10451.0352</v>
      </c>
      <c r="K3" s="8">
        <f>original!K59/100*original!$BK59</f>
        <v>9294.142</v>
      </c>
      <c r="L3" s="8">
        <f>original!L59/100*original!$BK59</f>
        <v>8969.172</v>
      </c>
      <c r="M3" s="8">
        <f>original!M59/100*original!$BK59</f>
        <v>6434.406</v>
      </c>
      <c r="N3" s="8">
        <f>original!N59/100*original!$BK59</f>
        <v>4939.544</v>
      </c>
      <c r="O3" s="8">
        <f>original!O59/100*original!$BK59</f>
        <v>4159.616</v>
      </c>
      <c r="P3" s="8">
        <f>original!P59/100*original!$BK59</f>
        <v>3639.664</v>
      </c>
      <c r="Q3" s="8">
        <f>original!Q59/100*original!$BK59</f>
        <v>1988.8164</v>
      </c>
      <c r="R3" s="8">
        <f>original!R59/100*original!$BK59</f>
        <v>1091.8992</v>
      </c>
      <c r="S3" s="8">
        <f>original!S59/100*original!$BK59</f>
        <v>389.964</v>
      </c>
      <c r="T3" s="8">
        <f>original!T59/100*original!$BK59</f>
        <v>116.9892</v>
      </c>
      <c r="U3" s="8">
        <f>original!U59/100*original!$BK59</f>
        <v>25.9976</v>
      </c>
      <c r="V3" s="8">
        <f>original!V59/100*original!$BK59</f>
        <v>3535.6736</v>
      </c>
      <c r="W3" s="8">
        <f>original!W59/100*original!$BK59</f>
        <v>4302.6028</v>
      </c>
      <c r="X3" s="8">
        <f>original!X59/100*original!$BK59</f>
        <v>5693.4744</v>
      </c>
      <c r="Y3" s="8">
        <f>original!Y59/100*original!$BK59</f>
        <v>5875.4576</v>
      </c>
      <c r="Z3" s="8">
        <f>original!Z59/100*original!$BK59</f>
        <v>4068.6244</v>
      </c>
      <c r="AA3" s="8">
        <f>original!AA59/100*original!$BK59</f>
        <v>4523.5824</v>
      </c>
      <c r="AB3" s="8">
        <f>original!AB59/100*original!$BK59</f>
        <v>6135.4336</v>
      </c>
      <c r="AC3" s="8">
        <f>original!AC59/100*original!$BK59</f>
        <v>6382.4108</v>
      </c>
      <c r="AD3" s="8">
        <f>original!AD59/100*original!$BK59</f>
        <v>5238.5164</v>
      </c>
      <c r="AE3" s="8">
        <f>original!AE59/100*original!$BK59</f>
        <v>4705.5656</v>
      </c>
      <c r="AF3" s="8">
        <f>original!AF59/100*original!$BK59</f>
        <v>4939.544</v>
      </c>
      <c r="AG3" s="8">
        <f>original!AG59/100*original!$BK59</f>
        <v>3262.6988</v>
      </c>
      <c r="AH3" s="8">
        <f>original!AH59/100*original!$BK59</f>
        <v>2560.7636</v>
      </c>
      <c r="AI3" s="8">
        <f>original!AI59/100*original!$BK59</f>
        <v>2079.808</v>
      </c>
      <c r="AJ3" s="8">
        <f>original!AJ59/100*original!$BK59</f>
        <v>1663.8464</v>
      </c>
      <c r="AK3" s="8">
        <f>original!AK59/100*original!$BK59</f>
        <v>948.9124</v>
      </c>
      <c r="AL3" s="8">
        <f>original!AL59/100*original!$BK59</f>
        <v>493.9544</v>
      </c>
      <c r="AM3" s="8">
        <f>original!AM59/100*original!$BK59</f>
        <v>181.9832</v>
      </c>
      <c r="AN3" s="8">
        <f>original!AN59/100*original!$BK59</f>
        <v>38.9964</v>
      </c>
      <c r="AO3" s="8">
        <f>original!AO59/100*original!$BK59</f>
        <v>12.9988</v>
      </c>
      <c r="AP3" s="8">
        <f>original!AP59/100*original!$BK59</f>
        <v>2924.73</v>
      </c>
      <c r="AQ3" s="8">
        <f>original!AQ59/100*original!$BK59</f>
        <v>3639.664</v>
      </c>
      <c r="AR3" s="8">
        <f>original!AR59/100*original!$BK59</f>
        <v>5329.508</v>
      </c>
      <c r="AS3" s="8">
        <f>original!AS59/100*original!$BK59</f>
        <v>5459.496</v>
      </c>
      <c r="AT3" s="8">
        <f>original!AT59/100*original!$BK59</f>
        <v>4198.6124</v>
      </c>
      <c r="AU3" s="8">
        <f>original!AU59/100*original!$BK59</f>
        <v>4666.5692</v>
      </c>
      <c r="AV3" s="8">
        <f>original!AV59/100*original!$BK59</f>
        <v>6109.436</v>
      </c>
      <c r="AW3" s="8">
        <f>original!AW59/100*original!$BK59</f>
        <v>6330.4156</v>
      </c>
      <c r="AX3" s="8">
        <f>original!AX59/100*original!$BK59</f>
        <v>5212.5188</v>
      </c>
      <c r="AY3" s="8">
        <f>original!AY59/100*original!$BK59</f>
        <v>4588.5764</v>
      </c>
      <c r="AZ3" s="8">
        <f>original!AZ59/100*original!$BK59</f>
        <v>4549.58</v>
      </c>
      <c r="BA3" s="8">
        <f>original!BA59/100*original!$BK59</f>
        <v>3158.7084</v>
      </c>
      <c r="BB3" s="8">
        <f>original!BB59/100*original!$BK59</f>
        <v>2417.7768</v>
      </c>
      <c r="BC3" s="8">
        <f>original!BC59/100*original!$BK59</f>
        <v>2105.8056</v>
      </c>
      <c r="BD3" s="8">
        <f>original!BD59/100*original!$BK59</f>
        <v>1702.8428</v>
      </c>
      <c r="BE3" s="8">
        <f>original!BE59/100*original!$BK59</f>
        <v>1169.892</v>
      </c>
      <c r="BF3" s="8">
        <f>original!BF59/100*original!$BK59</f>
        <v>636.9412</v>
      </c>
      <c r="BG3" s="8">
        <f>original!BG59/100*original!$BK59</f>
        <v>246.9772</v>
      </c>
      <c r="BH3" s="8">
        <f>original!BH59/100*original!$BK59</f>
        <v>116.9892</v>
      </c>
      <c r="BI3" s="8">
        <f>original!BI59/100*original!$BK59</f>
        <v>12.9988</v>
      </c>
    </row>
    <row r="4" spans="1:61">
      <c r="A4" s="4">
        <v>38717</v>
      </c>
      <c r="B4" s="8">
        <f>original!B60/100*original!$BK60</f>
        <v>6982.3704</v>
      </c>
      <c r="C4" s="8">
        <f>original!C60/100*original!$BK60</f>
        <v>8159.1744</v>
      </c>
      <c r="D4" s="8">
        <f>original!D60/100*original!$BK60</f>
        <v>10421.2532</v>
      </c>
      <c r="E4" s="8">
        <f>original!E60/100*original!$BK60</f>
        <v>11114.26</v>
      </c>
      <c r="F4" s="8">
        <f>original!F60/100*original!$BK60</f>
        <v>7976.116</v>
      </c>
      <c r="G4" s="8">
        <f>original!G60/100*original!$BK60</f>
        <v>8551.4424</v>
      </c>
      <c r="H4" s="8">
        <f>original!H60/100*original!$BK60</f>
        <v>11127.3356</v>
      </c>
      <c r="I4" s="8">
        <f>original!I60/100*original!$BK60</f>
        <v>12709.4832</v>
      </c>
      <c r="J4" s="8">
        <f>original!J60/100*original!$BK60</f>
        <v>11362.6964</v>
      </c>
      <c r="K4" s="8">
        <f>original!K60/100*original!$BK60</f>
        <v>8839.1056</v>
      </c>
      <c r="L4" s="8">
        <f>original!L60/100*original!$BK60</f>
        <v>9519.0368</v>
      </c>
      <c r="M4" s="8">
        <f>original!M60/100*original!$BK60</f>
        <v>6982.3704</v>
      </c>
      <c r="N4" s="8">
        <f>original!N60/100*original!$BK60</f>
        <v>5138.7108</v>
      </c>
      <c r="O4" s="8">
        <f>original!O60/100*original!$BK60</f>
        <v>4341.0992</v>
      </c>
      <c r="P4" s="8">
        <f>original!P60/100*original!$BK60</f>
        <v>3504.2608</v>
      </c>
      <c r="Q4" s="8">
        <f>original!Q60/100*original!$BK60</f>
        <v>2235.9276</v>
      </c>
      <c r="R4" s="8">
        <f>original!R60/100*original!$BK60</f>
        <v>1202.9552</v>
      </c>
      <c r="S4" s="8">
        <f>original!S60/100*original!$BK60</f>
        <v>431.4948</v>
      </c>
      <c r="T4" s="8">
        <f>original!T60/100*original!$BK60</f>
        <v>117.6804</v>
      </c>
      <c r="U4" s="8">
        <f>original!U60/100*original!$BK60</f>
        <v>0</v>
      </c>
      <c r="V4" s="8">
        <f>original!V60/100*original!$BK60</f>
        <v>3844.2264</v>
      </c>
      <c r="W4" s="8">
        <f>original!W60/100*original!$BK60</f>
        <v>4445.704</v>
      </c>
      <c r="X4" s="8">
        <f>original!X60/100*original!$BK60</f>
        <v>5557.13</v>
      </c>
      <c r="Y4" s="8">
        <f>original!Y60/100*original!$BK60</f>
        <v>5766.3396</v>
      </c>
      <c r="Z4" s="8">
        <f>original!Z60/100*original!$BK60</f>
        <v>3844.2264</v>
      </c>
      <c r="AA4" s="8">
        <f>original!AA60/100*original!$BK60</f>
        <v>4144.9652</v>
      </c>
      <c r="AB4" s="8">
        <f>original!AB60/100*original!$BK60</f>
        <v>5478.6764</v>
      </c>
      <c r="AC4" s="8">
        <f>original!AC60/100*original!$BK60</f>
        <v>6263.2124</v>
      </c>
      <c r="AD4" s="8">
        <f>original!AD60/100*original!$BK60</f>
        <v>5635.5836</v>
      </c>
      <c r="AE4" s="8">
        <f>original!AE60/100*original!$BK60</f>
        <v>4432.6284</v>
      </c>
      <c r="AF4" s="8">
        <f>original!AF60/100*original!$BK60</f>
        <v>4798.7452</v>
      </c>
      <c r="AG4" s="8">
        <f>original!AG60/100*original!$BK60</f>
        <v>3556.5632</v>
      </c>
      <c r="AH4" s="8">
        <f>original!AH60/100*original!$BK60</f>
        <v>2641.2712</v>
      </c>
      <c r="AI4" s="8">
        <f>original!AI60/100*original!$BK60</f>
        <v>2196.7008</v>
      </c>
      <c r="AJ4" s="8">
        <f>original!AJ60/100*original!$BK60</f>
        <v>1725.9792</v>
      </c>
      <c r="AK4" s="8">
        <f>original!AK60/100*original!$BK60</f>
        <v>1046.048</v>
      </c>
      <c r="AL4" s="8">
        <f>original!AL60/100*original!$BK60</f>
        <v>509.9484</v>
      </c>
      <c r="AM4" s="8">
        <f>original!AM60/100*original!$BK60</f>
        <v>156.9072</v>
      </c>
      <c r="AN4" s="8">
        <f>original!AN60/100*original!$BK60</f>
        <v>39.2268</v>
      </c>
      <c r="AO4" s="8">
        <f>original!AO60/100*original!$BK60</f>
        <v>0</v>
      </c>
      <c r="AP4" s="8">
        <f>original!AP60/100*original!$BK60</f>
        <v>3138.144</v>
      </c>
      <c r="AQ4" s="8">
        <f>original!AQ60/100*original!$BK60</f>
        <v>3765.7728</v>
      </c>
      <c r="AR4" s="8">
        <f>original!AR60/100*original!$BK60</f>
        <v>4864.1232</v>
      </c>
      <c r="AS4" s="8">
        <f>original!AS60/100*original!$BK60</f>
        <v>5347.9204</v>
      </c>
      <c r="AT4" s="8">
        <f>original!AT60/100*original!$BK60</f>
        <v>4131.8896</v>
      </c>
      <c r="AU4" s="8">
        <f>original!AU60/100*original!$BK60</f>
        <v>4393.4016</v>
      </c>
      <c r="AV4" s="8">
        <f>original!AV60/100*original!$BK60</f>
        <v>5661.7348</v>
      </c>
      <c r="AW4" s="8">
        <f>original!AW60/100*original!$BK60</f>
        <v>6459.3464</v>
      </c>
      <c r="AX4" s="8">
        <f>original!AX60/100*original!$BK60</f>
        <v>5714.0372</v>
      </c>
      <c r="AY4" s="8">
        <f>original!AY60/100*original!$BK60</f>
        <v>4406.4772</v>
      </c>
      <c r="AZ4" s="8">
        <f>original!AZ60/100*original!$BK60</f>
        <v>4733.3672</v>
      </c>
      <c r="BA4" s="8">
        <f>original!BA60/100*original!$BK60</f>
        <v>3425.8072</v>
      </c>
      <c r="BB4" s="8">
        <f>original!BB60/100*original!$BK60</f>
        <v>2510.5152</v>
      </c>
      <c r="BC4" s="8">
        <f>original!BC60/100*original!$BK60</f>
        <v>2144.3984</v>
      </c>
      <c r="BD4" s="8">
        <f>original!BD60/100*original!$BK60</f>
        <v>1778.2816</v>
      </c>
      <c r="BE4" s="8">
        <f>original!BE60/100*original!$BK60</f>
        <v>1189.8796</v>
      </c>
      <c r="BF4" s="8">
        <f>original!BF60/100*original!$BK60</f>
        <v>693.0068</v>
      </c>
      <c r="BG4" s="8">
        <f>original!BG60/100*original!$BK60</f>
        <v>274.5876</v>
      </c>
      <c r="BH4" s="8">
        <f>original!BH60/100*original!$BK60</f>
        <v>91.5292</v>
      </c>
      <c r="BI4" s="8">
        <f>original!BI60/100*original!$BK60</f>
        <v>19.351888</v>
      </c>
    </row>
    <row r="5" spans="1:61">
      <c r="A5" s="4">
        <v>39082</v>
      </c>
      <c r="B5" s="8">
        <f>original!B61/100*original!$BK61</f>
        <v>6674.140752</v>
      </c>
      <c r="C5" s="8">
        <f>original!C61/100*original!$BK61</f>
        <v>7779.74988</v>
      </c>
      <c r="D5" s="8">
        <f>original!D61/100*original!$BK61</f>
        <v>9824.029176</v>
      </c>
      <c r="E5" s="8">
        <f>original!E61/100*original!$BK61</f>
        <v>11574.916536</v>
      </c>
      <c r="F5" s="8">
        <f>original!F61/100*original!$BK61</f>
        <v>8393.874936</v>
      </c>
      <c r="G5" s="8">
        <f>original!G61/100*original!$BK61</f>
        <v>8167.915824</v>
      </c>
      <c r="H5" s="8">
        <f>original!H61/100*original!$BK61</f>
        <v>10293.69288</v>
      </c>
      <c r="I5" s="8">
        <f>original!I61/100*original!$BK61</f>
        <v>12559.067712</v>
      </c>
      <c r="J5" s="8">
        <f>original!J61/100*original!$BK61</f>
        <v>12760.577496</v>
      </c>
      <c r="K5" s="8">
        <f>original!K61/100*original!$BK61</f>
        <v>8430.943272</v>
      </c>
      <c r="L5" s="8">
        <f>original!L61/100*original!$BK61</f>
        <v>9986.10456</v>
      </c>
      <c r="M5" s="8">
        <f>original!M61/100*original!$BK61</f>
        <v>7525.003656</v>
      </c>
      <c r="N5" s="8">
        <f>original!N61/100*original!$BK61</f>
        <v>5387.922072</v>
      </c>
      <c r="O5" s="8">
        <f>original!O61/100*original!$BK61</f>
        <v>4408.10868</v>
      </c>
      <c r="P5" s="8">
        <f>original!P61/100*original!$BK61</f>
        <v>3603.121128</v>
      </c>
      <c r="Q5" s="8">
        <f>original!Q61/100*original!$BK61</f>
        <v>2273.918952</v>
      </c>
      <c r="R5" s="8">
        <f>original!R61/100*original!$BK61</f>
        <v>1193.022048</v>
      </c>
      <c r="S5" s="8">
        <f>original!S61/100*original!$BK61</f>
        <v>456.518904</v>
      </c>
      <c r="T5" s="8">
        <f>original!T61/100*original!$BK61</f>
        <v>0</v>
      </c>
      <c r="U5" s="8">
        <f>original!U61/100*original!$BK61</f>
        <v>0</v>
      </c>
      <c r="V5" s="8">
        <f>original!V61/100*original!$BK61</f>
        <v>3650.442408</v>
      </c>
      <c r="W5" s="8">
        <f>original!W61/100*original!$BK61</f>
        <v>4291.908648</v>
      </c>
      <c r="X5" s="8">
        <f>original!X61/100*original!$BK61</f>
        <v>5296.565712</v>
      </c>
      <c r="Y5" s="8">
        <f>original!Y61/100*original!$BK61</f>
        <v>6114.698064</v>
      </c>
      <c r="Z5" s="8">
        <f>original!Z61/100*original!$BK61</f>
        <v>4107.75</v>
      </c>
      <c r="AA5" s="8">
        <f>original!AA61/100*original!$BK61</f>
        <v>3953.167152</v>
      </c>
      <c r="AB5" s="8">
        <f>original!AB61/100*original!$BK61</f>
        <v>5049.837816</v>
      </c>
      <c r="AC5" s="8">
        <f>original!AC61/100*original!$BK61</f>
        <v>6175.558488</v>
      </c>
      <c r="AD5" s="8">
        <f>original!AD61/100*original!$BK61</f>
        <v>6312.658752</v>
      </c>
      <c r="AE5" s="8">
        <f>original!AE61/100*original!$BK61</f>
        <v>4215.405912</v>
      </c>
      <c r="AF5" s="8">
        <f>original!AF61/100*original!$BK61</f>
        <v>5030.51496</v>
      </c>
      <c r="AG5" s="8">
        <f>original!AG61/100*original!$BK61</f>
        <v>3806.602632</v>
      </c>
      <c r="AH5" s="8">
        <f>original!AH61/100*original!$BK61</f>
        <v>2749.497816</v>
      </c>
      <c r="AI5" s="8">
        <f>original!AI61/100*original!$BK61</f>
        <v>2254.99044</v>
      </c>
      <c r="AJ5" s="8">
        <f>original!AJ61/100*original!$BK61</f>
        <v>1779.017232</v>
      </c>
      <c r="AK5" s="8">
        <f>original!AK61/100*original!$BK61</f>
        <v>1085.629032</v>
      </c>
      <c r="AL5" s="8">
        <f>original!AL61/100*original!$BK61</f>
        <v>507.38928</v>
      </c>
      <c r="AM5" s="8">
        <f>original!AM61/100*original!$BK61</f>
        <v>172.065432</v>
      </c>
      <c r="AN5" s="8">
        <f>original!AN61/100*original!$BK61</f>
        <v>0</v>
      </c>
      <c r="AO5" s="8">
        <f>original!AO61/100*original!$BK61</f>
        <v>0</v>
      </c>
      <c r="AP5" s="8">
        <f>original!AP61/100*original!$BK61</f>
        <v>3023.829792</v>
      </c>
      <c r="AQ5" s="8">
        <f>original!AQ61/100*original!$BK61</f>
        <v>3487.841232</v>
      </c>
      <c r="AR5" s="8">
        <f>original!AR61/100*original!$BK61</f>
        <v>4527.463464</v>
      </c>
      <c r="AS5" s="8">
        <f>original!AS61/100*original!$BK61</f>
        <v>5460.218472</v>
      </c>
      <c r="AT5" s="8">
        <f>original!AT61/100*original!$BK61</f>
        <v>4286.124936</v>
      </c>
      <c r="AU5" s="8">
        <f>original!AU61/100*original!$BK61</f>
        <v>4214.748672</v>
      </c>
      <c r="AV5" s="8">
        <f>original!AV61/100*original!$BK61</f>
        <v>5243.986512</v>
      </c>
      <c r="AW5" s="8">
        <f>original!AW61/100*original!$BK61</f>
        <v>6383.509224</v>
      </c>
      <c r="AX5" s="8">
        <f>original!AX61/100*original!$BK61</f>
        <v>6448.050192</v>
      </c>
      <c r="AY5" s="8">
        <f>original!AY61/100*original!$BK61</f>
        <v>4215.274464</v>
      </c>
      <c r="AZ5" s="8">
        <f>original!AZ61/100*original!$BK61</f>
        <v>4955.5896</v>
      </c>
      <c r="BA5" s="8">
        <f>original!BA61/100*original!$BK61</f>
        <v>3718.269576</v>
      </c>
      <c r="BB5" s="8">
        <f>original!BB61/100*original!$BK61</f>
        <v>2638.424256</v>
      </c>
      <c r="BC5" s="8">
        <f>original!BC61/100*original!$BK61</f>
        <v>2153.11824</v>
      </c>
      <c r="BD5" s="8">
        <f>original!BD61/100*original!$BK61</f>
        <v>1823.972448</v>
      </c>
      <c r="BE5" s="8">
        <f>original!BE61/100*original!$BK61</f>
        <v>1188.158472</v>
      </c>
      <c r="BF5" s="8">
        <f>original!BF61/100*original!$BK61</f>
        <v>685.632768</v>
      </c>
      <c r="BG5" s="8">
        <f>original!BG61/100*original!$BK61</f>
        <v>284.453472</v>
      </c>
      <c r="BH5" s="8">
        <f>original!BH61/100*original!$BK61</f>
        <v>0</v>
      </c>
      <c r="BI5" s="8">
        <f>original!BI61/100*original!$BK61</f>
        <v>0</v>
      </c>
    </row>
    <row r="6" spans="1:61">
      <c r="A6" s="4">
        <v>39447</v>
      </c>
      <c r="B6" s="8">
        <f>original!B62/100*original!$BK62</f>
        <v>6672.5145</v>
      </c>
      <c r="C6" s="8">
        <f>original!C62/100*original!$BK62</f>
        <v>7584.2046</v>
      </c>
      <c r="D6" s="8">
        <f>original!D62/100*original!$BK62</f>
        <v>9367.9461</v>
      </c>
      <c r="E6" s="8">
        <f>original!E62/100*original!$BK62</f>
        <v>10993.1328</v>
      </c>
      <c r="F6" s="8">
        <f>original!F62/100*original!$BK62</f>
        <v>8733.7269</v>
      </c>
      <c r="G6" s="8">
        <f>original!G62/100*original!$BK62</f>
        <v>8535.5334</v>
      </c>
      <c r="H6" s="8">
        <f>original!H62/100*original!$BK62</f>
        <v>9645.417</v>
      </c>
      <c r="I6" s="8">
        <f>original!I62/100*original!$BK62</f>
        <v>12829.7259</v>
      </c>
      <c r="J6" s="8">
        <f>original!J62/100*original!$BK62</f>
        <v>12882.5775</v>
      </c>
      <c r="K6" s="8">
        <f>original!K62/100*original!$BK62</f>
        <v>8456.256</v>
      </c>
      <c r="L6" s="8">
        <f>original!L62/100*original!$BK62</f>
        <v>10279.6362</v>
      </c>
      <c r="M6" s="8">
        <f>original!M62/100*original!$BK62</f>
        <v>8139.1464</v>
      </c>
      <c r="N6" s="8">
        <f>original!N62/100*original!$BK62</f>
        <v>5668.3341</v>
      </c>
      <c r="O6" s="8">
        <f>original!O62/100*original!$BK62</f>
        <v>4426.3215</v>
      </c>
      <c r="P6" s="8">
        <f>original!P62/100*original!$BK62</f>
        <v>3699.612</v>
      </c>
      <c r="Q6" s="8">
        <f>original!Q62/100*original!$BK62</f>
        <v>2338.6833</v>
      </c>
      <c r="R6" s="8">
        <f>original!R62/100*original!$BK62</f>
        <v>1255.2255</v>
      </c>
      <c r="S6" s="8">
        <f>original!S62/100*original!$BK62</f>
        <v>488.8773</v>
      </c>
      <c r="T6" s="8">
        <f>original!T62/100*original!$BK62</f>
        <v>118.9161</v>
      </c>
      <c r="U6" s="8">
        <f>original!U62/100*original!$BK62</f>
        <v>26.4258</v>
      </c>
      <c r="V6" s="8">
        <f>original!V62/100*original!$BK62</f>
        <v>3686.3991</v>
      </c>
      <c r="W6" s="8">
        <f>original!W62/100*original!$BK62</f>
        <v>4148.8506</v>
      </c>
      <c r="X6" s="8">
        <f>original!X62/100*original!$BK62</f>
        <v>5034.1149</v>
      </c>
      <c r="Y6" s="8">
        <f>original!Y62/100*original!$BK62</f>
        <v>5826.8889</v>
      </c>
      <c r="Z6" s="8">
        <f>original!Z62/100*original!$BK62</f>
        <v>4280.9796</v>
      </c>
      <c r="AA6" s="8">
        <f>original!AA62/100*original!$BK62</f>
        <v>4135.6377</v>
      </c>
      <c r="AB6" s="8">
        <f>original!AB62/100*original!$BK62</f>
        <v>4743.4311</v>
      </c>
      <c r="AC6" s="8">
        <f>original!AC62/100*original!$BK62</f>
        <v>6355.4049</v>
      </c>
      <c r="AD6" s="8">
        <f>original!AD62/100*original!$BK62</f>
        <v>6408.2565</v>
      </c>
      <c r="AE6" s="8">
        <f>original!AE62/100*original!$BK62</f>
        <v>4214.9151</v>
      </c>
      <c r="AF6" s="8">
        <f>original!AF62/100*original!$BK62</f>
        <v>5179.4568</v>
      </c>
      <c r="AG6" s="8">
        <f>original!AG62/100*original!$BK62</f>
        <v>4109.2119</v>
      </c>
      <c r="AH6" s="8">
        <f>original!AH62/100*original!$BK62</f>
        <v>2880.4122</v>
      </c>
      <c r="AI6" s="8">
        <f>original!AI62/100*original!$BK62</f>
        <v>2259.4059</v>
      </c>
      <c r="AJ6" s="8">
        <f>original!AJ62/100*original!$BK62</f>
        <v>1823.3802</v>
      </c>
      <c r="AK6" s="8">
        <f>original!AK62/100*original!$BK62</f>
        <v>1123.0965</v>
      </c>
      <c r="AL6" s="8">
        <f>original!AL62/100*original!$BK62</f>
        <v>554.9418</v>
      </c>
      <c r="AM6" s="8">
        <f>original!AM62/100*original!$BK62</f>
        <v>198.1935</v>
      </c>
      <c r="AN6" s="8">
        <f>original!AN62/100*original!$BK62</f>
        <v>39.6387</v>
      </c>
      <c r="AO6" s="8">
        <f>original!AO62/100*original!$BK62</f>
        <v>13.2129</v>
      </c>
      <c r="AP6" s="8">
        <f>original!AP62/100*original!$BK62</f>
        <v>2986.1154</v>
      </c>
      <c r="AQ6" s="8">
        <f>original!AQ62/100*original!$BK62</f>
        <v>3435.354</v>
      </c>
      <c r="AR6" s="8">
        <f>original!AR62/100*original!$BK62</f>
        <v>4333.8312</v>
      </c>
      <c r="AS6" s="8">
        <f>original!AS62/100*original!$BK62</f>
        <v>5166.2439</v>
      </c>
      <c r="AT6" s="8">
        <f>original!AT62/100*original!$BK62</f>
        <v>4452.7473</v>
      </c>
      <c r="AU6" s="8">
        <f>original!AU62/100*original!$BK62</f>
        <v>4386.6828</v>
      </c>
      <c r="AV6" s="8">
        <f>original!AV62/100*original!$BK62</f>
        <v>4901.9859</v>
      </c>
      <c r="AW6" s="8">
        <f>original!AW62/100*original!$BK62</f>
        <v>6474.321</v>
      </c>
      <c r="AX6" s="8">
        <f>original!AX62/100*original!$BK62</f>
        <v>6474.321</v>
      </c>
      <c r="AY6" s="8">
        <f>original!AY62/100*original!$BK62</f>
        <v>4241.3409</v>
      </c>
      <c r="AZ6" s="8">
        <f>original!AZ62/100*original!$BK62</f>
        <v>5100.1794</v>
      </c>
      <c r="BA6" s="8">
        <f>original!BA62/100*original!$BK62</f>
        <v>4029.9345</v>
      </c>
      <c r="BB6" s="8">
        <f>original!BB62/100*original!$BK62</f>
        <v>2787.9219</v>
      </c>
      <c r="BC6" s="8">
        <f>original!BC62/100*original!$BK62</f>
        <v>2166.9156</v>
      </c>
      <c r="BD6" s="8">
        <f>original!BD62/100*original!$BK62</f>
        <v>1876.2318</v>
      </c>
      <c r="BE6" s="8">
        <f>original!BE62/100*original!$BK62</f>
        <v>1215.5868</v>
      </c>
      <c r="BF6" s="8">
        <f>original!BF62/100*original!$BK62</f>
        <v>700.2837</v>
      </c>
      <c r="BG6" s="8">
        <f>original!BG62/100*original!$BK62</f>
        <v>303.8967</v>
      </c>
      <c r="BH6" s="8">
        <f>original!BH62/100*original!$BK62</f>
        <v>92.4903</v>
      </c>
      <c r="BI6" s="8">
        <f>original!BI62/100*original!$BK62</f>
        <v>26.4258</v>
      </c>
    </row>
    <row r="7" spans="1:61">
      <c r="A7" s="4">
        <v>39813</v>
      </c>
      <c r="B7" s="8">
        <f>original!B63/100*original!$BK63</f>
        <v>6812.7426</v>
      </c>
      <c r="C7" s="8">
        <f>original!C63/100*original!$BK63</f>
        <v>7250.9892</v>
      </c>
      <c r="D7" s="8">
        <f>original!D63/100*original!$BK63</f>
        <v>8937.5746</v>
      </c>
      <c r="E7" s="8">
        <f>original!E63/100*original!$BK63</f>
        <v>10451.5174</v>
      </c>
      <c r="F7" s="8">
        <f>original!F63/100*original!$BK63</f>
        <v>9110.2172</v>
      </c>
      <c r="G7" s="8">
        <f>original!G63/100*original!$BK63</f>
        <v>8605.5696</v>
      </c>
      <c r="H7" s="8">
        <f>original!H63/100*original!$BK63</f>
        <v>9243.0192</v>
      </c>
      <c r="I7" s="8">
        <f>original!I63/100*original!$BK63</f>
        <v>12310.7454</v>
      </c>
      <c r="J7" s="8">
        <f>original!J63/100*original!$BK63</f>
        <v>12815.393</v>
      </c>
      <c r="K7" s="8">
        <f>original!K63/100*original!$BK63</f>
        <v>9548.4638</v>
      </c>
      <c r="L7" s="8">
        <f>original!L63/100*original!$BK63</f>
        <v>10358.556</v>
      </c>
      <c r="M7" s="8">
        <f>original!M63/100*original!$BK63</f>
        <v>8738.3716</v>
      </c>
      <c r="N7" s="8">
        <f>original!N63/100*original!$BK63</f>
        <v>5936.2494</v>
      </c>
      <c r="O7" s="8">
        <f>original!O63/100*original!$BK63</f>
        <v>4409.0264</v>
      </c>
      <c r="P7" s="8">
        <f>original!P63/100*original!$BK63</f>
        <v>3758.2966</v>
      </c>
      <c r="Q7" s="8">
        <f>original!Q63/100*original!$BK63</f>
        <v>2483.3974</v>
      </c>
      <c r="R7" s="8">
        <f>original!R63/100*original!$BK63</f>
        <v>1314.7398</v>
      </c>
      <c r="S7" s="8">
        <f>original!S63/100*original!$BK63</f>
        <v>544.4882</v>
      </c>
      <c r="T7" s="8">
        <f>original!T63/100*original!$BK63</f>
        <v>132.802</v>
      </c>
      <c r="U7" s="8">
        <f>original!U63/100*original!$BK63</f>
        <v>26.5604</v>
      </c>
      <c r="V7" s="8">
        <f>original!V63/100*original!$BK63</f>
        <v>3758.2966</v>
      </c>
      <c r="W7" s="8">
        <f>original!W63/100*original!$BK63</f>
        <v>3984.06</v>
      </c>
      <c r="X7" s="8">
        <f>original!X63/100*original!$BK63</f>
        <v>4794.1522</v>
      </c>
      <c r="Y7" s="8">
        <f>original!Y63/100*original!$BK63</f>
        <v>5564.4038</v>
      </c>
      <c r="Z7" s="8">
        <f>original!Z63/100*original!$BK63</f>
        <v>4501.9878</v>
      </c>
      <c r="AA7" s="8">
        <f>original!AA63/100*original!$BK63</f>
        <v>4223.1036</v>
      </c>
      <c r="AB7" s="8">
        <f>original!AB63/100*original!$BK63</f>
        <v>4581.669</v>
      </c>
      <c r="AC7" s="8">
        <f>original!AC63/100*original!$BK63</f>
        <v>6082.3316</v>
      </c>
      <c r="AD7" s="8">
        <f>original!AD63/100*original!$BK63</f>
        <v>6387.7762</v>
      </c>
      <c r="AE7" s="8">
        <f>original!AE63/100*original!$BK63</f>
        <v>4741.0314</v>
      </c>
      <c r="AF7" s="8">
        <f>original!AF63/100*original!$BK63</f>
        <v>5219.1186</v>
      </c>
      <c r="AG7" s="8">
        <f>original!AG63/100*original!$BK63</f>
        <v>4422.3066</v>
      </c>
      <c r="AH7" s="8">
        <f>original!AH63/100*original!$BK63</f>
        <v>3014.6054</v>
      </c>
      <c r="AI7" s="8">
        <f>original!AI63/100*original!$BK63</f>
        <v>2231.0736</v>
      </c>
      <c r="AJ7" s="8">
        <f>original!AJ63/100*original!$BK63</f>
        <v>1859.228</v>
      </c>
      <c r="AK7" s="8">
        <f>original!AK63/100*original!$BK63</f>
        <v>1181.9378</v>
      </c>
      <c r="AL7" s="8">
        <f>original!AL63/100*original!$BK63</f>
        <v>584.3288</v>
      </c>
      <c r="AM7" s="8">
        <f>original!AM63/100*original!$BK63</f>
        <v>212.4832</v>
      </c>
      <c r="AN7" s="8">
        <f>original!AN63/100*original!$BK63</f>
        <v>39.8406</v>
      </c>
      <c r="AO7" s="8">
        <f>original!AO63/100*original!$BK63</f>
        <v>13.2802</v>
      </c>
      <c r="AP7" s="8">
        <f>original!AP63/100*original!$BK63</f>
        <v>3054.446</v>
      </c>
      <c r="AQ7" s="8">
        <f>original!AQ63/100*original!$BK63</f>
        <v>3280.2094</v>
      </c>
      <c r="AR7" s="8">
        <f>original!AR63/100*original!$BK63</f>
        <v>4143.4224</v>
      </c>
      <c r="AS7" s="8">
        <f>original!AS63/100*original!$BK63</f>
        <v>4887.1136</v>
      </c>
      <c r="AT7" s="8">
        <f>original!AT63/100*original!$BK63</f>
        <v>4608.2294</v>
      </c>
      <c r="AU7" s="8">
        <f>original!AU63/100*original!$BK63</f>
        <v>4382.466</v>
      </c>
      <c r="AV7" s="8">
        <f>original!AV63/100*original!$BK63</f>
        <v>4661.3502</v>
      </c>
      <c r="AW7" s="8">
        <f>original!AW63/100*original!$BK63</f>
        <v>6228.4138</v>
      </c>
      <c r="AX7" s="8">
        <f>original!AX63/100*original!$BK63</f>
        <v>6427.6168</v>
      </c>
      <c r="AY7" s="8">
        <f>original!AY63/100*original!$BK63</f>
        <v>4807.4324</v>
      </c>
      <c r="AZ7" s="8">
        <f>original!AZ63/100*original!$BK63</f>
        <v>5139.4374</v>
      </c>
      <c r="BA7" s="8">
        <f>original!BA63/100*original!$BK63</f>
        <v>4316.065</v>
      </c>
      <c r="BB7" s="8">
        <f>original!BB63/100*original!$BK63</f>
        <v>2921.644</v>
      </c>
      <c r="BC7" s="8">
        <f>original!BC63/100*original!$BK63</f>
        <v>2177.9528</v>
      </c>
      <c r="BD7" s="8">
        <f>original!BD63/100*original!$BK63</f>
        <v>1885.7884</v>
      </c>
      <c r="BE7" s="8">
        <f>original!BE63/100*original!$BK63</f>
        <v>1288.1794</v>
      </c>
      <c r="BF7" s="8">
        <f>original!BF63/100*original!$BK63</f>
        <v>730.411</v>
      </c>
      <c r="BG7" s="8">
        <f>original!BG63/100*original!$BK63</f>
        <v>332.005</v>
      </c>
      <c r="BH7" s="8">
        <f>original!BH63/100*original!$BK63</f>
        <v>92.9614</v>
      </c>
      <c r="BI7" s="8">
        <f>original!BI63/100*original!$BK63</f>
        <v>26.5604</v>
      </c>
    </row>
    <row r="8" spans="1:61">
      <c r="A8" s="4">
        <v>40178</v>
      </c>
      <c r="B8" s="8">
        <f>original!B64/100*original!$BK64</f>
        <v>6886.02</v>
      </c>
      <c r="C8" s="8">
        <f>original!C64/100*original!$BK64</f>
        <v>7219.645</v>
      </c>
      <c r="D8" s="8">
        <f>original!D64/100*original!$BK64</f>
        <v>8407.35</v>
      </c>
      <c r="E8" s="8">
        <f>original!E64/100*original!$BK64</f>
        <v>9568.365</v>
      </c>
      <c r="F8" s="8">
        <f>original!F64/100*original!$BK64</f>
        <v>10035.44</v>
      </c>
      <c r="G8" s="8">
        <f>original!G64/100*original!$BK64</f>
        <v>8647.56</v>
      </c>
      <c r="H8" s="8">
        <f>original!H64/100*original!$BK64</f>
        <v>9021.22</v>
      </c>
      <c r="I8" s="8">
        <f>original!I64/100*original!$BK64</f>
        <v>12143.95</v>
      </c>
      <c r="J8" s="8">
        <f>original!J64/100*original!$BK64</f>
        <v>12864.58</v>
      </c>
      <c r="K8" s="8">
        <f>original!K64/100*original!$BK64</f>
        <v>10582.585</v>
      </c>
      <c r="L8" s="8">
        <f>original!L64/100*original!$BK64</f>
        <v>9661.78</v>
      </c>
      <c r="M8" s="8">
        <f>original!M64/100*original!$BK64</f>
        <v>9061.255</v>
      </c>
      <c r="N8" s="8">
        <f>original!N64/100*original!$BK64</f>
        <v>6378.91</v>
      </c>
      <c r="O8" s="8">
        <f>original!O64/100*original!$BK64</f>
        <v>4590.68</v>
      </c>
      <c r="P8" s="8">
        <f>original!P64/100*original!$BK64</f>
        <v>3723.255</v>
      </c>
      <c r="Q8" s="8">
        <f>original!Q64/100*original!$BK64</f>
        <v>2575.585</v>
      </c>
      <c r="R8" s="8">
        <f>original!R64/100*original!$BK64</f>
        <v>1347.845</v>
      </c>
      <c r="S8" s="8">
        <f>original!S64/100*original!$BK64</f>
        <v>547.145</v>
      </c>
      <c r="T8" s="8">
        <f>original!T64/100*original!$BK64</f>
        <v>133.45</v>
      </c>
      <c r="U8" s="8">
        <f>original!U64/100*original!$BK64</f>
        <v>40.035</v>
      </c>
      <c r="V8" s="8">
        <f>original!V64/100*original!$BK64</f>
        <v>3789.98</v>
      </c>
      <c r="W8" s="8">
        <f>original!W64/100*original!$BK64</f>
        <v>3976.81</v>
      </c>
      <c r="X8" s="8">
        <f>original!X64/100*original!$BK64</f>
        <v>4550.645</v>
      </c>
      <c r="Y8" s="8">
        <f>original!Y64/100*original!$BK64</f>
        <v>5057.755</v>
      </c>
      <c r="Z8" s="8">
        <f>original!Z64/100*original!$BK64</f>
        <v>5044.41</v>
      </c>
      <c r="AA8" s="8">
        <f>original!AA64/100*original!$BK64</f>
        <v>4310.435</v>
      </c>
      <c r="AB8" s="8">
        <f>original!AB64/100*original!$BK64</f>
        <v>4443.885</v>
      </c>
      <c r="AC8" s="8">
        <f>original!AC64/100*original!$BK64</f>
        <v>6018.595</v>
      </c>
      <c r="AD8" s="8">
        <f>original!AD64/100*original!$BK64</f>
        <v>6405.6</v>
      </c>
      <c r="AE8" s="8">
        <f>original!AE64/100*original!$BK64</f>
        <v>5231.24</v>
      </c>
      <c r="AF8" s="8">
        <f>original!AF64/100*original!$BK64</f>
        <v>4857.58</v>
      </c>
      <c r="AG8" s="8">
        <f>original!AG64/100*original!$BK64</f>
        <v>4537.3</v>
      </c>
      <c r="AH8" s="8">
        <f>original!AH64/100*original!$BK64</f>
        <v>3242.835</v>
      </c>
      <c r="AI8" s="8">
        <f>original!AI64/100*original!$BK64</f>
        <v>2322.03</v>
      </c>
      <c r="AJ8" s="8">
        <f>original!AJ64/100*original!$BK64</f>
        <v>1868.3</v>
      </c>
      <c r="AK8" s="8">
        <f>original!AK64/100*original!$BK64</f>
        <v>1254.43</v>
      </c>
      <c r="AL8" s="8">
        <f>original!AL64/100*original!$BK64</f>
        <v>587.18</v>
      </c>
      <c r="AM8" s="8">
        <f>original!AM64/100*original!$BK64</f>
        <v>226.865</v>
      </c>
      <c r="AN8" s="8">
        <f>original!AN64/100*original!$BK64</f>
        <v>40.035</v>
      </c>
      <c r="AO8" s="8">
        <f>original!AO64/100*original!$BK64</f>
        <v>13.345</v>
      </c>
      <c r="AP8" s="8">
        <f>original!AP64/100*original!$BK64</f>
        <v>3096.04</v>
      </c>
      <c r="AQ8" s="8">
        <f>original!AQ64/100*original!$BK64</f>
        <v>3242.835</v>
      </c>
      <c r="AR8" s="8">
        <f>original!AR64/100*original!$BK64</f>
        <v>3843.36</v>
      </c>
      <c r="AS8" s="8">
        <f>original!AS64/100*original!$BK64</f>
        <v>4510.61</v>
      </c>
      <c r="AT8" s="8">
        <f>original!AT64/100*original!$BK64</f>
        <v>5004.375</v>
      </c>
      <c r="AU8" s="8">
        <f>original!AU64/100*original!$BK64</f>
        <v>4323.78</v>
      </c>
      <c r="AV8" s="8">
        <f>original!AV64/100*original!$BK64</f>
        <v>4577.335</v>
      </c>
      <c r="AW8" s="8">
        <f>original!AW64/100*original!$BK64</f>
        <v>6125.355</v>
      </c>
      <c r="AX8" s="8">
        <f>original!AX64/100*original!$BK64</f>
        <v>6472.325</v>
      </c>
      <c r="AY8" s="8">
        <f>original!AY64/100*original!$BK64</f>
        <v>5351.345</v>
      </c>
      <c r="AZ8" s="8">
        <f>original!AZ64/100*original!$BK64</f>
        <v>4804.2</v>
      </c>
      <c r="BA8" s="8">
        <f>original!BA64/100*original!$BK64</f>
        <v>4523.955</v>
      </c>
      <c r="BB8" s="8">
        <f>original!BB64/100*original!$BK64</f>
        <v>3136.075</v>
      </c>
      <c r="BC8" s="8">
        <f>original!BC64/100*original!$BK64</f>
        <v>2268.65</v>
      </c>
      <c r="BD8" s="8">
        <f>original!BD64/100*original!$BK64</f>
        <v>1854.955</v>
      </c>
      <c r="BE8" s="8">
        <f>original!BE64/100*original!$BK64</f>
        <v>1321.155</v>
      </c>
      <c r="BF8" s="8">
        <f>original!BF64/100*original!$BK64</f>
        <v>760.665</v>
      </c>
      <c r="BG8" s="8">
        <f>original!BG64/100*original!$BK64</f>
        <v>320.28</v>
      </c>
      <c r="BH8" s="8">
        <f>original!BH64/100*original!$BK64</f>
        <v>93.415</v>
      </c>
      <c r="BI8" s="8">
        <f>original!BI64/100*original!$BK64</f>
        <v>26.69</v>
      </c>
    </row>
    <row r="9" spans="1:61">
      <c r="A9" s="4">
        <v>40543</v>
      </c>
      <c r="B9" s="8">
        <f>original!B65/100*original!$BK65</f>
        <v>0</v>
      </c>
      <c r="C9" s="8">
        <f>original!C65/100*original!$BK65</f>
        <v>0</v>
      </c>
      <c r="D9" s="8">
        <f>original!D65/100*original!$BK65</f>
        <v>0</v>
      </c>
      <c r="E9" s="8">
        <f>original!E65/100*original!$BK65</f>
        <v>0</v>
      </c>
      <c r="F9" s="8">
        <f>original!F65/100*original!$BK65</f>
        <v>0</v>
      </c>
      <c r="G9" s="8">
        <f>original!G65/100*original!$BK65</f>
        <v>0</v>
      </c>
      <c r="H9" s="8">
        <f>original!H65/100*original!$BK65</f>
        <v>0</v>
      </c>
      <c r="I9" s="8">
        <f>original!I65/100*original!$BK65</f>
        <v>0</v>
      </c>
      <c r="J9" s="8">
        <f>original!J65/100*original!$BK65</f>
        <v>0</v>
      </c>
      <c r="K9" s="8">
        <f>original!K65/100*original!$BK65</f>
        <v>0</v>
      </c>
      <c r="L9" s="8">
        <f>original!L65/100*original!$BK65</f>
        <v>0</v>
      </c>
      <c r="M9" s="8">
        <f>original!M65/100*original!$BK65</f>
        <v>0</v>
      </c>
      <c r="N9" s="8">
        <f>original!N65/100*original!$BK65</f>
        <v>0</v>
      </c>
      <c r="O9" s="8">
        <f>original!O65/100*original!$BK65</f>
        <v>0</v>
      </c>
      <c r="P9" s="8">
        <f>original!P65/100*original!$BK65</f>
        <v>0</v>
      </c>
      <c r="Q9" s="8">
        <f>original!Q65/100*original!$BK65</f>
        <v>0</v>
      </c>
      <c r="R9" s="8">
        <f>original!R65/100*original!$BK65</f>
        <v>0</v>
      </c>
      <c r="S9" s="8">
        <f>original!S65/100*original!$BK65</f>
        <v>0</v>
      </c>
      <c r="T9" s="8">
        <f>original!T65/100*original!$BK65</f>
        <v>0</v>
      </c>
      <c r="U9" s="8">
        <f>original!U65/100*original!$BK65</f>
        <v>0</v>
      </c>
      <c r="V9" s="8">
        <f>original!V65/100*original!$BK65</f>
        <v>0</v>
      </c>
      <c r="W9" s="8">
        <f>original!W65/100*original!$BK65</f>
        <v>0</v>
      </c>
      <c r="X9" s="8">
        <f>original!X65/100*original!$BK65</f>
        <v>0</v>
      </c>
      <c r="Y9" s="8">
        <f>original!Y65/100*original!$BK65</f>
        <v>0</v>
      </c>
      <c r="Z9" s="8">
        <f>original!Z65/100*original!$BK65</f>
        <v>0</v>
      </c>
      <c r="AA9" s="8">
        <f>original!AA65/100*original!$BK65</f>
        <v>0</v>
      </c>
      <c r="AB9" s="8">
        <f>original!AB65/100*original!$BK65</f>
        <v>0</v>
      </c>
      <c r="AC9" s="8">
        <f>original!AC65/100*original!$BK65</f>
        <v>0</v>
      </c>
      <c r="AD9" s="8">
        <f>original!AD65/100*original!$BK65</f>
        <v>0</v>
      </c>
      <c r="AE9" s="8">
        <f>original!AE65/100*original!$BK65</f>
        <v>0</v>
      </c>
      <c r="AF9" s="8">
        <f>original!AF65/100*original!$BK65</f>
        <v>0</v>
      </c>
      <c r="AG9" s="8">
        <f>original!AG65/100*original!$BK65</f>
        <v>0</v>
      </c>
      <c r="AH9" s="8">
        <f>original!AH65/100*original!$BK65</f>
        <v>0</v>
      </c>
      <c r="AI9" s="8">
        <f>original!AI65/100*original!$BK65</f>
        <v>0</v>
      </c>
      <c r="AJ9" s="8">
        <f>original!AJ65/100*original!$BK65</f>
        <v>0</v>
      </c>
      <c r="AK9" s="8">
        <f>original!AK65/100*original!$BK65</f>
        <v>0</v>
      </c>
      <c r="AL9" s="8">
        <f>original!AL65/100*original!$BK65</f>
        <v>0</v>
      </c>
      <c r="AM9" s="8">
        <f>original!AM65/100*original!$BK65</f>
        <v>0</v>
      </c>
      <c r="AN9" s="8">
        <f>original!AN65/100*original!$BK65</f>
        <v>0</v>
      </c>
      <c r="AO9" s="8">
        <f>original!AO65/100*original!$BK65</f>
        <v>0</v>
      </c>
      <c r="AP9" s="8">
        <f>original!AP65/100*original!$BK65</f>
        <v>0</v>
      </c>
      <c r="AQ9" s="8">
        <f>original!AQ65/100*original!$BK65</f>
        <v>0</v>
      </c>
      <c r="AR9" s="8">
        <f>original!AR65/100*original!$BK65</f>
        <v>0</v>
      </c>
      <c r="AS9" s="8">
        <f>original!AS65/100*original!$BK65</f>
        <v>0</v>
      </c>
      <c r="AT9" s="8">
        <f>original!AT65/100*original!$BK65</f>
        <v>0</v>
      </c>
      <c r="AU9" s="8">
        <f>original!AU65/100*original!$BK65</f>
        <v>0</v>
      </c>
      <c r="AV9" s="8">
        <f>original!AV65/100*original!$BK65</f>
        <v>0</v>
      </c>
      <c r="AW9" s="8">
        <f>original!AW65/100*original!$BK65</f>
        <v>0</v>
      </c>
      <c r="AX9" s="8">
        <f>original!AX65/100*original!$BK65</f>
        <v>0</v>
      </c>
      <c r="AY9" s="8">
        <f>original!AY65/100*original!$BK65</f>
        <v>0</v>
      </c>
      <c r="AZ9" s="8">
        <f>original!AZ65/100*original!$BK65</f>
        <v>0</v>
      </c>
      <c r="BA9" s="8">
        <f>original!BA65/100*original!$BK65</f>
        <v>0</v>
      </c>
      <c r="BB9" s="8">
        <f>original!BB65/100*original!$BK65</f>
        <v>0</v>
      </c>
      <c r="BC9" s="8">
        <f>original!BC65/100*original!$BK65</f>
        <v>0</v>
      </c>
      <c r="BD9" s="8">
        <f>original!BD65/100*original!$BK65</f>
        <v>0</v>
      </c>
      <c r="BE9" s="8">
        <f>original!BE65/100*original!$BK65</f>
        <v>0</v>
      </c>
      <c r="BF9" s="8">
        <f>original!BF65/100*original!$BK65</f>
        <v>0</v>
      </c>
      <c r="BG9" s="8">
        <f>original!BG65/100*original!$BK65</f>
        <v>0</v>
      </c>
      <c r="BH9" s="8">
        <f>original!BH65/100*original!$BK65</f>
        <v>0</v>
      </c>
      <c r="BI9" s="8">
        <f>original!BI65/100*original!$BK65</f>
        <v>0</v>
      </c>
    </row>
    <row r="10" spans="1:61">
      <c r="A10" s="4">
        <v>40908</v>
      </c>
      <c r="B10" s="8">
        <f>original!B66/100*original!$BK66</f>
        <v>7626.001</v>
      </c>
      <c r="C10" s="8">
        <f>original!C66/100*original!$BK66</f>
        <v>7208.3225</v>
      </c>
      <c r="D10" s="8">
        <f>original!D66/100*original!$BK66</f>
        <v>7356.531</v>
      </c>
      <c r="E10" s="8">
        <f>original!E66/100*original!$BK66</f>
        <v>9458.397</v>
      </c>
      <c r="F10" s="8">
        <f>original!F66/100*original!$BK66</f>
        <v>12772.878</v>
      </c>
      <c r="G10" s="8">
        <f>original!G66/100*original!$BK66</f>
        <v>10495.8565</v>
      </c>
      <c r="H10" s="8">
        <f>original!H66/100*original!$BK66</f>
        <v>9660.4995</v>
      </c>
      <c r="I10" s="8">
        <f>original!I66/100*original!$BK66</f>
        <v>11398.581</v>
      </c>
      <c r="J10" s="8">
        <f>original!J66/100*original!$BK66</f>
        <v>12638.143</v>
      </c>
      <c r="K10" s="8">
        <f>original!K66/100*original!$BK66</f>
        <v>11870.1535</v>
      </c>
      <c r="L10" s="8">
        <f>original!L66/100*original!$BK66</f>
        <v>7316.1105</v>
      </c>
      <c r="M10" s="8">
        <f>original!M66/100*original!$BK66</f>
        <v>8434.411</v>
      </c>
      <c r="N10" s="8">
        <f>original!N66/100*original!$BK66</f>
        <v>6197.81</v>
      </c>
      <c r="O10" s="8">
        <f>original!O66/100*original!$BK66</f>
        <v>4244.1525</v>
      </c>
      <c r="P10" s="8">
        <f>original!P66/100*original!$BK66</f>
        <v>3395.322</v>
      </c>
      <c r="Q10" s="8">
        <f>original!Q66/100*original!$BK66</f>
        <v>2492.5975</v>
      </c>
      <c r="R10" s="8">
        <f>original!R66/100*original!$BK66</f>
        <v>1401.244</v>
      </c>
      <c r="S10" s="8">
        <f>original!S66/100*original!$BK66</f>
        <v>565.887</v>
      </c>
      <c r="T10" s="8">
        <f>original!T66/100*original!$BK66</f>
        <v>175.1555</v>
      </c>
      <c r="U10" s="8">
        <f>original!U66/100*original!$BK66</f>
        <v>40.4205</v>
      </c>
      <c r="V10" s="8">
        <f>original!V66/100*original!$BK66</f>
        <v>4149.838</v>
      </c>
      <c r="W10" s="8">
        <f>original!W66/100*original!$BK66</f>
        <v>3907.315</v>
      </c>
      <c r="X10" s="8">
        <f>original!X66/100*original!$BK66</f>
        <v>3961.209</v>
      </c>
      <c r="Y10" s="8">
        <f>original!Y66/100*original!$BK66</f>
        <v>4944.7745</v>
      </c>
      <c r="Z10" s="8">
        <f>original!Z66/100*original!$BK66</f>
        <v>6494.227</v>
      </c>
      <c r="AA10" s="8">
        <f>original!AA66/100*original!$BK66</f>
        <v>5295.0855</v>
      </c>
      <c r="AB10" s="8">
        <f>original!AB66/100*original!$BK66</f>
        <v>4931.301</v>
      </c>
      <c r="AC10" s="8">
        <f>original!AC66/100*original!$BK66</f>
        <v>5834.0255</v>
      </c>
      <c r="AD10" s="8">
        <f>original!AD66/100*original!$BK66</f>
        <v>6453.8065</v>
      </c>
      <c r="AE10" s="8">
        <f>original!AE66/100*original!$BK66</f>
        <v>6049.6015</v>
      </c>
      <c r="AF10" s="8">
        <f>original!AF66/100*original!$BK66</f>
        <v>3745.633</v>
      </c>
      <c r="AG10" s="8">
        <f>original!AG66/100*original!$BK66</f>
        <v>4257.626</v>
      </c>
      <c r="AH10" s="8">
        <f>original!AH66/100*original!$BK66</f>
        <v>3139.3255</v>
      </c>
      <c r="AI10" s="8">
        <f>original!AI66/100*original!$BK66</f>
        <v>2128.813</v>
      </c>
      <c r="AJ10" s="8">
        <f>original!AJ66/100*original!$BK66</f>
        <v>1697.661</v>
      </c>
      <c r="AK10" s="8">
        <f>original!AK66/100*original!$BK66</f>
        <v>1172.1945</v>
      </c>
      <c r="AL10" s="8">
        <f>original!AL66/100*original!$BK66</f>
        <v>619.781</v>
      </c>
      <c r="AM10" s="8">
        <f>original!AM66/100*original!$BK66</f>
        <v>215.576</v>
      </c>
      <c r="AN10" s="8">
        <f>original!AN66/100*original!$BK66</f>
        <v>53.894</v>
      </c>
      <c r="AO10" s="8">
        <f>original!AO66/100*original!$BK66</f>
        <v>13.4735</v>
      </c>
      <c r="AP10" s="8">
        <f>original!AP66/100*original!$BK66</f>
        <v>3476.163</v>
      </c>
      <c r="AQ10" s="8">
        <f>original!AQ66/100*original!$BK66</f>
        <v>3301.0075</v>
      </c>
      <c r="AR10" s="8">
        <f>original!AR66/100*original!$BK66</f>
        <v>3381.8485</v>
      </c>
      <c r="AS10" s="8">
        <f>original!AS66/100*original!$BK66</f>
        <v>4513.6225</v>
      </c>
      <c r="AT10" s="8">
        <f>original!AT66/100*original!$BK66</f>
        <v>6278.651</v>
      </c>
      <c r="AU10" s="8">
        <f>original!AU66/100*original!$BK66</f>
        <v>5214.2445</v>
      </c>
      <c r="AV10" s="8">
        <f>original!AV66/100*original!$BK66</f>
        <v>4729.1985</v>
      </c>
      <c r="AW10" s="8">
        <f>original!AW66/100*original!$BK66</f>
        <v>5564.5555</v>
      </c>
      <c r="AX10" s="8">
        <f>original!AX66/100*original!$BK66</f>
        <v>6184.3365</v>
      </c>
      <c r="AY10" s="8">
        <f>original!AY66/100*original!$BK66</f>
        <v>5820.552</v>
      </c>
      <c r="AZ10" s="8">
        <f>original!AZ66/100*original!$BK66</f>
        <v>3570.4775</v>
      </c>
      <c r="BA10" s="8">
        <f>original!BA66/100*original!$BK66</f>
        <v>4176.785</v>
      </c>
      <c r="BB10" s="8">
        <f>original!BB66/100*original!$BK66</f>
        <v>3058.4845</v>
      </c>
      <c r="BC10" s="8">
        <f>original!BC66/100*original!$BK66</f>
        <v>2115.3395</v>
      </c>
      <c r="BD10" s="8">
        <f>original!BD66/100*original!$BK66</f>
        <v>1697.661</v>
      </c>
      <c r="BE10" s="8">
        <f>original!BE66/100*original!$BK66</f>
        <v>1320.403</v>
      </c>
      <c r="BF10" s="8">
        <f>original!BF66/100*original!$BK66</f>
        <v>781.463</v>
      </c>
      <c r="BG10" s="8">
        <f>original!BG66/100*original!$BK66</f>
        <v>350.311</v>
      </c>
      <c r="BH10" s="8">
        <f>original!BH66/100*original!$BK66</f>
        <v>121.2615</v>
      </c>
      <c r="BI10" s="8">
        <f>original!BI66/100*original!$BK66</f>
        <v>26.947</v>
      </c>
    </row>
    <row r="11" spans="1:61">
      <c r="A11" s="4">
        <v>41274</v>
      </c>
      <c r="B11" s="8">
        <f>original!B67/100*original!$BK67</f>
        <v>7704.4876</v>
      </c>
      <c r="C11" s="8">
        <f>original!C67/100*original!$BK67</f>
        <v>7379.518</v>
      </c>
      <c r="D11" s="8">
        <f>original!D67/100*original!$BK67</f>
        <v>7203.4928</v>
      </c>
      <c r="E11" s="8">
        <f>original!E67/100*original!$BK67</f>
        <v>8896.0428</v>
      </c>
      <c r="F11" s="8">
        <f>original!F67/100*original!$BK67</f>
        <v>12254.062</v>
      </c>
      <c r="G11" s="8">
        <f>original!G67/100*original!$BK67</f>
        <v>10832.32</v>
      </c>
      <c r="H11" s="8">
        <f>original!H67/100*original!$BK67</f>
        <v>10060.5172</v>
      </c>
      <c r="I11" s="8">
        <f>original!I67/100*original!$BK67</f>
        <v>10723.9968</v>
      </c>
      <c r="J11" s="8">
        <f>original!J67/100*original!$BK67</f>
        <v>12944.6224</v>
      </c>
      <c r="K11" s="8">
        <f>original!K67/100*original!$BK67</f>
        <v>11956.1732</v>
      </c>
      <c r="L11" s="8">
        <f>original!L67/100*original!$BK67</f>
        <v>7460.7604</v>
      </c>
      <c r="M11" s="8">
        <f>original!M67/100*original!$BK67</f>
        <v>8598.154</v>
      </c>
      <c r="N11" s="8">
        <f>original!N67/100*original!$BK67</f>
        <v>6675.4172</v>
      </c>
      <c r="O11" s="8">
        <f>original!O67/100*original!$BK67</f>
        <v>4522.4936</v>
      </c>
      <c r="P11" s="8">
        <f>original!P67/100*original!$BK67</f>
        <v>3398.6404</v>
      </c>
      <c r="Q11" s="8">
        <f>original!Q67/100*original!$BK67</f>
        <v>2559.1356</v>
      </c>
      <c r="R11" s="8">
        <f>original!R67/100*original!$BK67</f>
        <v>1462.3632</v>
      </c>
      <c r="S11" s="8">
        <f>original!S67/100*original!$BK67</f>
        <v>568.6968</v>
      </c>
      <c r="T11" s="8">
        <f>original!T67/100*original!$BK67</f>
        <v>176.0252</v>
      </c>
      <c r="U11" s="8">
        <f>original!U67/100*original!$BK67</f>
        <v>40.6212</v>
      </c>
      <c r="V11" s="8">
        <f>original!V67/100*original!$BK67</f>
        <v>4170.4432</v>
      </c>
      <c r="W11" s="8">
        <f>original!W67/100*original!$BK67</f>
        <v>4007.9584</v>
      </c>
      <c r="X11" s="8">
        <f>original!X67/100*original!$BK67</f>
        <v>3899.6352</v>
      </c>
      <c r="Y11" s="8">
        <f>original!Y67/100*original!$BK67</f>
        <v>4684.9784</v>
      </c>
      <c r="Z11" s="8">
        <f>original!Z67/100*original!$BK67</f>
        <v>6269.2052</v>
      </c>
      <c r="AA11" s="8">
        <f>original!AA67/100*original!$BK67</f>
        <v>5443.2408</v>
      </c>
      <c r="AB11" s="8">
        <f>original!AB67/100*original!$BK67</f>
        <v>5118.2712</v>
      </c>
      <c r="AC11" s="8">
        <f>original!AC67/100*original!$BK67</f>
        <v>5483.862</v>
      </c>
      <c r="AD11" s="8">
        <f>original!AD67/100*original!$BK67</f>
        <v>6607.7152</v>
      </c>
      <c r="AE11" s="8">
        <f>original!AE67/100*original!$BK67</f>
        <v>6093.18</v>
      </c>
      <c r="AF11" s="8">
        <f>original!AF67/100*original!$BK67</f>
        <v>3804.8524</v>
      </c>
      <c r="AG11" s="8">
        <f>original!AG67/100*original!$BK67</f>
        <v>4346.4684</v>
      </c>
      <c r="AH11" s="8">
        <f>original!AH67/100*original!$BK67</f>
        <v>3358.0192</v>
      </c>
      <c r="AI11" s="8">
        <f>original!AI67/100*original!$BK67</f>
        <v>2261.2468</v>
      </c>
      <c r="AJ11" s="8">
        <f>original!AJ67/100*original!$BK67</f>
        <v>1679.0096</v>
      </c>
      <c r="AK11" s="8">
        <f>original!AK67/100*original!$BK67</f>
        <v>1218.636</v>
      </c>
      <c r="AL11" s="8">
        <f>original!AL67/100*original!$BK67</f>
        <v>649.9392</v>
      </c>
      <c r="AM11" s="8">
        <f>original!AM67/100*original!$BK67</f>
        <v>230.1868</v>
      </c>
      <c r="AN11" s="8">
        <f>original!AN67/100*original!$BK67</f>
        <v>54.1616</v>
      </c>
      <c r="AO11" s="8">
        <f>original!AO67/100*original!$BK67</f>
        <v>13.5404</v>
      </c>
      <c r="AP11" s="8">
        <f>original!AP67/100*original!$BK67</f>
        <v>3520.504</v>
      </c>
      <c r="AQ11" s="8">
        <f>original!AQ67/100*original!$BK67</f>
        <v>3371.5596</v>
      </c>
      <c r="AR11" s="8">
        <f>original!AR67/100*original!$BK67</f>
        <v>3303.8576</v>
      </c>
      <c r="AS11" s="8">
        <f>original!AS67/100*original!$BK67</f>
        <v>4211.0644</v>
      </c>
      <c r="AT11" s="8">
        <f>original!AT67/100*original!$BK67</f>
        <v>5984.8568</v>
      </c>
      <c r="AU11" s="8">
        <f>original!AU67/100*original!$BK67</f>
        <v>5375.5388</v>
      </c>
      <c r="AV11" s="8">
        <f>original!AV67/100*original!$BK67</f>
        <v>4942.246</v>
      </c>
      <c r="AW11" s="8">
        <f>original!AW67/100*original!$BK67</f>
        <v>5240.1348</v>
      </c>
      <c r="AX11" s="8">
        <f>original!AX67/100*original!$BK67</f>
        <v>6336.9072</v>
      </c>
      <c r="AY11" s="8">
        <f>original!AY67/100*original!$BK67</f>
        <v>5862.9932</v>
      </c>
      <c r="AZ11" s="8">
        <f>original!AZ67/100*original!$BK67</f>
        <v>3655.908</v>
      </c>
      <c r="BA11" s="8">
        <f>original!BA67/100*original!$BK67</f>
        <v>4251.6856</v>
      </c>
      <c r="BB11" s="8">
        <f>original!BB67/100*original!$BK67</f>
        <v>3317.398</v>
      </c>
      <c r="BC11" s="8">
        <f>original!BC67/100*original!$BK67</f>
        <v>2274.7872</v>
      </c>
      <c r="BD11" s="8">
        <f>original!BD67/100*original!$BK67</f>
        <v>1719.6308</v>
      </c>
      <c r="BE11" s="8">
        <f>original!BE67/100*original!$BK67</f>
        <v>1340.4996</v>
      </c>
      <c r="BF11" s="8">
        <f>original!BF67/100*original!$BK67</f>
        <v>812.424</v>
      </c>
      <c r="BG11" s="8">
        <f>original!BG67/100*original!$BK67</f>
        <v>352.0504</v>
      </c>
      <c r="BH11" s="8">
        <f>original!BH67/100*original!$BK67</f>
        <v>108.3232</v>
      </c>
      <c r="BI11" s="8">
        <f>original!BI67/100*original!$BK67</f>
        <v>27.0808</v>
      </c>
    </row>
    <row r="12" spans="1:61">
      <c r="A12" s="4">
        <v>41639</v>
      </c>
      <c r="B12" s="8">
        <f>original!B68/100*original!$BK68</f>
        <v>7728.8896</v>
      </c>
      <c r="C12" s="8">
        <f>original!C68/100*original!$BK68</f>
        <v>7592.8176</v>
      </c>
      <c r="D12" s="8">
        <f>original!D68/100*original!$BK68</f>
        <v>7007.708</v>
      </c>
      <c r="E12" s="8">
        <f>original!E68/100*original!$BK68</f>
        <v>8354.8208</v>
      </c>
      <c r="F12" s="8">
        <f>original!F68/100*original!$BK68</f>
        <v>11851.8712</v>
      </c>
      <c r="G12" s="8">
        <f>original!G68/100*original!$BK68</f>
        <v>11334.7976</v>
      </c>
      <c r="H12" s="8">
        <f>original!H68/100*original!$BK68</f>
        <v>10055.7208</v>
      </c>
      <c r="I12" s="8">
        <f>original!I68/100*original!$BK68</f>
        <v>10259.8288</v>
      </c>
      <c r="J12" s="8">
        <f>original!J68/100*original!$BK68</f>
        <v>12627.4816</v>
      </c>
      <c r="K12" s="8">
        <f>original!K68/100*original!$BK68</f>
        <v>11933.5144</v>
      </c>
      <c r="L12" s="8">
        <f>original!L68/100*original!$BK68</f>
        <v>8463.6784</v>
      </c>
      <c r="M12" s="8">
        <f>original!M68/100*original!$BK68</f>
        <v>8599.7504</v>
      </c>
      <c r="N12" s="8">
        <f>original!N68/100*original!$BK68</f>
        <v>7089.3512</v>
      </c>
      <c r="O12" s="8">
        <f>original!O68/100*original!$BK68</f>
        <v>4776.1272</v>
      </c>
      <c r="P12" s="8">
        <f>original!P68/100*original!$BK68</f>
        <v>3388.1928</v>
      </c>
      <c r="Q12" s="8">
        <f>original!Q68/100*original!$BK68</f>
        <v>2585.368</v>
      </c>
      <c r="R12" s="8">
        <f>original!R68/100*original!$BK68</f>
        <v>1551.2208</v>
      </c>
      <c r="S12" s="8">
        <f>original!S68/100*original!$BK68</f>
        <v>639.5384</v>
      </c>
      <c r="T12" s="8">
        <f>original!T68/100*original!$BK68</f>
        <v>190.5008</v>
      </c>
      <c r="U12" s="8">
        <f>original!U68/100*original!$BK68</f>
        <v>40.8216</v>
      </c>
      <c r="V12" s="8">
        <f>original!V68/100*original!$BK68</f>
        <v>4163.8032</v>
      </c>
      <c r="W12" s="8">
        <f>original!W68/100*original!$BK68</f>
        <v>4122.9816</v>
      </c>
      <c r="X12" s="8">
        <f>original!X68/100*original!$BK68</f>
        <v>3782.8016</v>
      </c>
      <c r="Y12" s="8">
        <f>original!Y68/100*original!$BK68</f>
        <v>4395.1256</v>
      </c>
      <c r="Z12" s="8">
        <f>original!Z68/100*original!$BK68</f>
        <v>6204.8832</v>
      </c>
      <c r="AA12" s="8">
        <f>original!AA68/100*original!$BK68</f>
        <v>5674.2024</v>
      </c>
      <c r="AB12" s="8">
        <f>original!AB68/100*original!$BK68</f>
        <v>5102.7</v>
      </c>
      <c r="AC12" s="8">
        <f>original!AC68/100*original!$BK68</f>
        <v>5238.772</v>
      </c>
      <c r="AD12" s="8">
        <f>original!AD68/100*original!$BK68</f>
        <v>6449.8128</v>
      </c>
      <c r="AE12" s="8">
        <f>original!AE68/100*original!$BK68</f>
        <v>6068.8112</v>
      </c>
      <c r="AF12" s="8">
        <f>original!AF68/100*original!$BK68</f>
        <v>4299.8752</v>
      </c>
      <c r="AG12" s="8">
        <f>original!AG68/100*original!$BK68</f>
        <v>4367.9112</v>
      </c>
      <c r="AH12" s="8">
        <f>original!AH68/100*original!$BK68</f>
        <v>3551.4792</v>
      </c>
      <c r="AI12" s="8">
        <f>original!AI68/100*original!$BK68</f>
        <v>2381.26</v>
      </c>
      <c r="AJ12" s="8">
        <f>original!AJ68/100*original!$BK68</f>
        <v>1673.6856</v>
      </c>
      <c r="AK12" s="8">
        <f>original!AK68/100*original!$BK68</f>
        <v>1224.648</v>
      </c>
      <c r="AL12" s="8">
        <f>original!AL68/100*original!$BK68</f>
        <v>693.9672</v>
      </c>
      <c r="AM12" s="8">
        <f>original!AM68/100*original!$BK68</f>
        <v>258.5368</v>
      </c>
      <c r="AN12" s="8">
        <f>original!AN68/100*original!$BK68</f>
        <v>68.036</v>
      </c>
      <c r="AO12" s="8">
        <f>original!AO68/100*original!$BK68</f>
        <v>13.6072</v>
      </c>
      <c r="AP12" s="8">
        <f>original!AP68/100*original!$BK68</f>
        <v>3551.4792</v>
      </c>
      <c r="AQ12" s="8">
        <f>original!AQ68/100*original!$BK68</f>
        <v>3469.836</v>
      </c>
      <c r="AR12" s="8">
        <f>original!AR68/100*original!$BK68</f>
        <v>3211.2992</v>
      </c>
      <c r="AS12" s="8">
        <f>original!AS68/100*original!$BK68</f>
        <v>3959.6952</v>
      </c>
      <c r="AT12" s="8">
        <f>original!AT68/100*original!$BK68</f>
        <v>5646.988</v>
      </c>
      <c r="AU12" s="8">
        <f>original!AU68/100*original!$BK68</f>
        <v>5646.988</v>
      </c>
      <c r="AV12" s="8">
        <f>original!AV68/100*original!$BK68</f>
        <v>4953.0208</v>
      </c>
      <c r="AW12" s="8">
        <f>original!AW68/100*original!$BK68</f>
        <v>5021.0568</v>
      </c>
      <c r="AX12" s="8">
        <f>original!AX68/100*original!$BK68</f>
        <v>6177.6688</v>
      </c>
      <c r="AY12" s="8">
        <f>original!AY68/100*original!$BK68</f>
        <v>5864.7032</v>
      </c>
      <c r="AZ12" s="8">
        <f>original!AZ68/100*original!$BK68</f>
        <v>4163.8032</v>
      </c>
      <c r="BA12" s="8">
        <f>original!BA68/100*original!$BK68</f>
        <v>4231.8392</v>
      </c>
      <c r="BB12" s="8">
        <f>original!BB68/100*original!$BK68</f>
        <v>3537.872</v>
      </c>
      <c r="BC12" s="8">
        <f>original!BC68/100*original!$BK68</f>
        <v>2394.8672</v>
      </c>
      <c r="BD12" s="8">
        <f>original!BD68/100*original!$BK68</f>
        <v>1728.1144</v>
      </c>
      <c r="BE12" s="8">
        <f>original!BE68/100*original!$BK68</f>
        <v>1360.72</v>
      </c>
      <c r="BF12" s="8">
        <f>original!BF68/100*original!$BK68</f>
        <v>857.2536</v>
      </c>
      <c r="BG12" s="8">
        <f>original!BG68/100*original!$BK68</f>
        <v>381.0016</v>
      </c>
      <c r="BH12" s="8">
        <f>original!BH68/100*original!$BK68</f>
        <v>122.4648</v>
      </c>
      <c r="BI12" s="8">
        <f>original!BI68/100*original!$BK68</f>
        <v>27.2144</v>
      </c>
    </row>
    <row r="13" spans="1:61">
      <c r="A13" s="4">
        <v>42004</v>
      </c>
      <c r="B13" s="8">
        <f>original!B69/100*original!$BK69</f>
        <v>7782.8958</v>
      </c>
      <c r="C13" s="8">
        <f>original!C69/100*original!$BK69</f>
        <v>7673.4702</v>
      </c>
      <c r="D13" s="8">
        <f>original!D69/100*original!$BK69</f>
        <v>7085.3076</v>
      </c>
      <c r="E13" s="8">
        <f>original!E69/100*original!$BK69</f>
        <v>7878.6432</v>
      </c>
      <c r="F13" s="8">
        <f>original!F69/100*original!$BK69</f>
        <v>11038.3074</v>
      </c>
      <c r="G13" s="8">
        <f>original!G69/100*original!$BK69</f>
        <v>12023.1378</v>
      </c>
      <c r="H13" s="8">
        <f>original!H69/100*original!$BK69</f>
        <v>10039.7988</v>
      </c>
      <c r="I13" s="8">
        <f>original!I69/100*original!$BK69</f>
        <v>9944.0514</v>
      </c>
      <c r="J13" s="8">
        <f>original!J69/100*original!$BK69</f>
        <v>12406.1274</v>
      </c>
      <c r="K13" s="8">
        <f>original!K69/100*original!$BK69</f>
        <v>12077.8506</v>
      </c>
      <c r="L13" s="8">
        <f>original!L69/100*original!$BK69</f>
        <v>9478.9926</v>
      </c>
      <c r="M13" s="8">
        <f>original!M69/100*original!$BK69</f>
        <v>8083.8162</v>
      </c>
      <c r="N13" s="8">
        <f>original!N69/100*original!$BK69</f>
        <v>7495.6536</v>
      </c>
      <c r="O13" s="8">
        <f>original!O69/100*original!$BK69</f>
        <v>5074.6122</v>
      </c>
      <c r="P13" s="8">
        <f>original!P69/100*original!$BK69</f>
        <v>3542.6538</v>
      </c>
      <c r="Q13" s="8">
        <f>original!Q69/100*original!$BK69</f>
        <v>2598.858</v>
      </c>
      <c r="R13" s="8">
        <f>original!R69/100*original!$BK69</f>
        <v>1614.0276</v>
      </c>
      <c r="S13" s="8">
        <f>original!S69/100*original!$BK69</f>
        <v>683.91</v>
      </c>
      <c r="T13" s="8">
        <f>original!T69/100*original!$BK69</f>
        <v>218.8512</v>
      </c>
      <c r="U13" s="8">
        <f>original!U69/100*original!$BK69</f>
        <v>41.0346</v>
      </c>
      <c r="V13" s="8">
        <f>original!V69/100*original!$BK69</f>
        <v>4199.2074</v>
      </c>
      <c r="W13" s="8">
        <f>original!W69/100*original!$BK69</f>
        <v>4171.851</v>
      </c>
      <c r="X13" s="8">
        <f>original!X69/100*original!$BK69</f>
        <v>3843.5742</v>
      </c>
      <c r="Y13" s="8">
        <f>original!Y69/100*original!$BK69</f>
        <v>4212.8856</v>
      </c>
      <c r="Z13" s="8">
        <f>original!Z69/100*original!$BK69</f>
        <v>5703.8094</v>
      </c>
      <c r="AA13" s="8">
        <f>original!AA69/100*original!$BK69</f>
        <v>6059.4426</v>
      </c>
      <c r="AB13" s="8">
        <f>original!AB69/100*original!$BK69</f>
        <v>5088.2904</v>
      </c>
      <c r="AC13" s="8">
        <f>original!AC69/100*original!$BK69</f>
        <v>5074.6122</v>
      </c>
      <c r="AD13" s="8">
        <f>original!AD69/100*original!$BK69</f>
        <v>6333.0066</v>
      </c>
      <c r="AE13" s="8">
        <f>original!AE69/100*original!$BK69</f>
        <v>6141.5118</v>
      </c>
      <c r="AF13" s="8">
        <f>original!AF69/100*original!$BK69</f>
        <v>4801.0482</v>
      </c>
      <c r="AG13" s="8">
        <f>original!AG69/100*original!$BK69</f>
        <v>4103.46</v>
      </c>
      <c r="AH13" s="8">
        <f>original!AH69/100*original!$BK69</f>
        <v>3747.8268</v>
      </c>
      <c r="AI13" s="8">
        <f>original!AI69/100*original!$BK69</f>
        <v>2503.1106</v>
      </c>
      <c r="AJ13" s="8">
        <f>original!AJ69/100*original!$BK69</f>
        <v>1764.4878</v>
      </c>
      <c r="AK13" s="8">
        <f>original!AK69/100*original!$BK69</f>
        <v>1244.7162</v>
      </c>
      <c r="AL13" s="8">
        <f>original!AL69/100*original!$BK69</f>
        <v>724.9446</v>
      </c>
      <c r="AM13" s="8">
        <f>original!AM69/100*original!$BK69</f>
        <v>273.564</v>
      </c>
      <c r="AN13" s="8">
        <f>original!AN69/100*original!$BK69</f>
        <v>68.391</v>
      </c>
      <c r="AO13" s="8">
        <f>original!AO69/100*original!$BK69</f>
        <v>13.6782</v>
      </c>
      <c r="AP13" s="8">
        <f>original!AP69/100*original!$BK69</f>
        <v>3583.6884</v>
      </c>
      <c r="AQ13" s="8">
        <f>original!AQ69/100*original!$BK69</f>
        <v>3501.6192</v>
      </c>
      <c r="AR13" s="8">
        <f>original!AR69/100*original!$BK69</f>
        <v>3241.7334</v>
      </c>
      <c r="AS13" s="8">
        <f>original!AS69/100*original!$BK69</f>
        <v>3665.7576</v>
      </c>
      <c r="AT13" s="8">
        <f>original!AT69/100*original!$BK69</f>
        <v>5334.498</v>
      </c>
      <c r="AU13" s="8">
        <f>original!AU69/100*original!$BK69</f>
        <v>5963.6952</v>
      </c>
      <c r="AV13" s="8">
        <f>original!AV69/100*original!$BK69</f>
        <v>4965.1866</v>
      </c>
      <c r="AW13" s="8">
        <f>original!AW69/100*original!$BK69</f>
        <v>4869.4392</v>
      </c>
      <c r="AX13" s="8">
        <f>original!AX69/100*original!$BK69</f>
        <v>6073.1208</v>
      </c>
      <c r="AY13" s="8">
        <f>original!AY69/100*original!$BK69</f>
        <v>5936.3388</v>
      </c>
      <c r="AZ13" s="8">
        <f>original!AZ69/100*original!$BK69</f>
        <v>4677.9444</v>
      </c>
      <c r="BA13" s="8">
        <f>original!BA69/100*original!$BK69</f>
        <v>3966.678</v>
      </c>
      <c r="BB13" s="8">
        <f>original!BB69/100*original!$BK69</f>
        <v>3747.8268</v>
      </c>
      <c r="BC13" s="8">
        <f>original!BC69/100*original!$BK69</f>
        <v>2571.5016</v>
      </c>
      <c r="BD13" s="8">
        <f>original!BD69/100*original!$BK69</f>
        <v>1778.166</v>
      </c>
      <c r="BE13" s="8">
        <f>original!BE69/100*original!$BK69</f>
        <v>1354.1418</v>
      </c>
      <c r="BF13" s="8">
        <f>original!BF69/100*original!$BK69</f>
        <v>889.083</v>
      </c>
      <c r="BG13" s="8">
        <f>original!BG69/100*original!$BK69</f>
        <v>410.346</v>
      </c>
      <c r="BH13" s="8">
        <f>original!BH69/100*original!$BK69</f>
        <v>136.782</v>
      </c>
      <c r="BI13" s="8">
        <f>original!BI69/100*original!$BK69</f>
        <v>27.3564</v>
      </c>
    </row>
    <row r="14" spans="1:61">
      <c r="A14" s="4">
        <v>42369</v>
      </c>
      <c r="B14" s="8">
        <f>original!B70/100*original!$BK70</f>
        <v>8014.0346</v>
      </c>
      <c r="C14" s="8">
        <f>original!C70/100*original!$BK70</f>
        <v>7574.1562</v>
      </c>
      <c r="D14" s="8">
        <f>original!D70/100*original!$BK70</f>
        <v>7120.5316</v>
      </c>
      <c r="E14" s="8">
        <f>original!E70/100*original!$BK70</f>
        <v>7519.1714</v>
      </c>
      <c r="F14" s="8">
        <f>original!F70/100*original!$BK70</f>
        <v>10034.726</v>
      </c>
      <c r="G14" s="8">
        <f>original!G70/100*original!$BK70</f>
        <v>12852.697</v>
      </c>
      <c r="H14" s="8">
        <f>original!H70/100*original!$BK70</f>
        <v>10144.6956</v>
      </c>
      <c r="I14" s="8">
        <f>original!I70/100*original!$BK70</f>
        <v>9718.5634</v>
      </c>
      <c r="J14" s="8">
        <f>original!J70/100*original!$BK70</f>
        <v>11766.7472</v>
      </c>
      <c r="K14" s="8">
        <f>original!K70/100*original!$BK70</f>
        <v>12385.3262</v>
      </c>
      <c r="L14" s="8">
        <f>original!L70/100*original!$BK70</f>
        <v>10419.6196</v>
      </c>
      <c r="M14" s="8">
        <f>original!M70/100*original!$BK70</f>
        <v>7697.872</v>
      </c>
      <c r="N14" s="8">
        <f>original!N70/100*original!$BK70</f>
        <v>7807.8416</v>
      </c>
      <c r="O14" s="8">
        <f>original!O70/100*original!$BK70</f>
        <v>5484.7338</v>
      </c>
      <c r="P14" s="8">
        <f>original!P70/100*original!$BK70</f>
        <v>3628.9968</v>
      </c>
      <c r="Q14" s="8">
        <f>original!Q70/100*original!$BK70</f>
        <v>2653.0166</v>
      </c>
      <c r="R14" s="8">
        <f>original!R70/100*original!$BK70</f>
        <v>1635.7978</v>
      </c>
      <c r="S14" s="8">
        <f>original!S70/100*original!$BK70</f>
        <v>714.8024</v>
      </c>
      <c r="T14" s="8">
        <f>original!T70/100*original!$BK70</f>
        <v>219.9392</v>
      </c>
      <c r="U14" s="8">
        <f>original!U70/100*original!$BK70</f>
        <v>44.400226</v>
      </c>
      <c r="V14" s="8">
        <f>original!V70/100*original!$BK70</f>
        <v>4316.3068</v>
      </c>
      <c r="W14" s="8">
        <f>original!W70/100*original!$BK70</f>
        <v>4123.86</v>
      </c>
      <c r="X14" s="8">
        <f>original!X70/100*original!$BK70</f>
        <v>3862.6822</v>
      </c>
      <c r="Y14" s="8">
        <f>original!Y70/100*original!$BK70</f>
        <v>4041.3828</v>
      </c>
      <c r="Z14" s="8">
        <f>original!Z70/100*original!$BK70</f>
        <v>5223.556</v>
      </c>
      <c r="AA14" s="8">
        <f>original!AA70/100*original!$BK70</f>
        <v>6501.9526</v>
      </c>
      <c r="AB14" s="8">
        <f>original!AB70/100*original!$BK70</f>
        <v>5127.3326</v>
      </c>
      <c r="AC14" s="8">
        <f>original!AC70/100*original!$BK70</f>
        <v>4962.3782</v>
      </c>
      <c r="AD14" s="8">
        <f>original!AD70/100*original!$BK70</f>
        <v>6007.0894</v>
      </c>
      <c r="AE14" s="8">
        <f>original!AE70/100*original!$BK70</f>
        <v>6295.7596</v>
      </c>
      <c r="AF14" s="8">
        <f>original!AF70/100*original!$BK70</f>
        <v>5278.5408</v>
      </c>
      <c r="AG14" s="8">
        <f>original!AG70/100*original!$BK70</f>
        <v>3917.667</v>
      </c>
      <c r="AH14" s="8">
        <f>original!AH70/100*original!$BK70</f>
        <v>3903.9208</v>
      </c>
      <c r="AI14" s="8">
        <f>original!AI70/100*original!$BK70</f>
        <v>2735.4938</v>
      </c>
      <c r="AJ14" s="8">
        <f>original!AJ70/100*original!$BK70</f>
        <v>1787.006</v>
      </c>
      <c r="AK14" s="8">
        <f>original!AK70/100*original!$BK70</f>
        <v>1264.6504</v>
      </c>
      <c r="AL14" s="8">
        <f>original!AL70/100*original!$BK70</f>
        <v>714.8024</v>
      </c>
      <c r="AM14" s="8">
        <f>original!AM70/100*original!$BK70</f>
        <v>288.6702</v>
      </c>
      <c r="AN14" s="8">
        <f>original!AN70/100*original!$BK70</f>
        <v>82.4772</v>
      </c>
      <c r="AO14" s="8">
        <f>original!AO70/100*original!$BK70</f>
        <v>12.509042</v>
      </c>
      <c r="AP14" s="8">
        <f>original!AP70/100*original!$BK70</f>
        <v>3711.474</v>
      </c>
      <c r="AQ14" s="8">
        <f>original!AQ70/100*original!$BK70</f>
        <v>3464.0424</v>
      </c>
      <c r="AR14" s="8">
        <f>original!AR70/100*original!$BK70</f>
        <v>3257.8494</v>
      </c>
      <c r="AS14" s="8">
        <f>original!AS70/100*original!$BK70</f>
        <v>3477.7886</v>
      </c>
      <c r="AT14" s="8">
        <f>original!AT70/100*original!$BK70</f>
        <v>4811.17</v>
      </c>
      <c r="AU14" s="8">
        <f>original!AU70/100*original!$BK70</f>
        <v>6350.7444</v>
      </c>
      <c r="AV14" s="8">
        <f>original!AV70/100*original!$BK70</f>
        <v>5017.363</v>
      </c>
      <c r="AW14" s="8">
        <f>original!AW70/100*original!$BK70</f>
        <v>4769.9314</v>
      </c>
      <c r="AX14" s="8">
        <f>original!AX70/100*original!$BK70</f>
        <v>5759.6578</v>
      </c>
      <c r="AY14" s="8">
        <f>original!AY70/100*original!$BK70</f>
        <v>6089.5666</v>
      </c>
      <c r="AZ14" s="8">
        <f>original!AZ70/100*original!$BK70</f>
        <v>5141.0788</v>
      </c>
      <c r="BA14" s="8">
        <f>original!BA70/100*original!$BK70</f>
        <v>3780.205</v>
      </c>
      <c r="BB14" s="8">
        <f>original!BB70/100*original!$BK70</f>
        <v>3917.667</v>
      </c>
      <c r="BC14" s="8">
        <f>original!BC70/100*original!$BK70</f>
        <v>2749.24</v>
      </c>
      <c r="BD14" s="8">
        <f>original!BD70/100*original!$BK70</f>
        <v>1855.737</v>
      </c>
      <c r="BE14" s="8">
        <f>original!BE70/100*original!$BK70</f>
        <v>1388.3662</v>
      </c>
      <c r="BF14" s="8">
        <f>original!BF70/100*original!$BK70</f>
        <v>907.2492</v>
      </c>
      <c r="BG14" s="8">
        <f>original!BG70/100*original!$BK70</f>
        <v>426.1322</v>
      </c>
      <c r="BH14" s="8">
        <f>original!BH70/100*original!$BK70</f>
        <v>137.462</v>
      </c>
      <c r="BI14" s="8">
        <f>original!BI70/100*original!$BK70</f>
        <v>31.891184</v>
      </c>
    </row>
    <row r="15" spans="1:61">
      <c r="A15" s="4">
        <v>42735</v>
      </c>
      <c r="B15" s="8">
        <f>original!B71/100*original!$BK71</f>
        <v>8171.8161</v>
      </c>
      <c r="C15" s="8">
        <f>original!C71/100*original!$BK71</f>
        <v>7618.7321</v>
      </c>
      <c r="D15" s="8">
        <f>original!D71/100*original!$BK71</f>
        <v>7217.7462</v>
      </c>
      <c r="E15" s="8">
        <f>original!E71/100*original!$BK71</f>
        <v>7356.0172</v>
      </c>
      <c r="F15" s="8">
        <f>original!F71/100*original!$BK71</f>
        <v>9443.9093</v>
      </c>
      <c r="G15" s="8">
        <f>original!G71/100*original!$BK71</f>
        <v>12734.7591</v>
      </c>
      <c r="H15" s="8">
        <f>original!H71/100*original!$BK71</f>
        <v>10453.2876</v>
      </c>
      <c r="I15" s="8">
        <f>original!I71/100*original!$BK71</f>
        <v>9609.8345</v>
      </c>
      <c r="J15" s="8">
        <f>original!J71/100*original!$BK71</f>
        <v>11310.5678</v>
      </c>
      <c r="K15" s="8">
        <f>original!K71/100*original!$BK71</f>
        <v>12485.8713</v>
      </c>
      <c r="L15" s="8">
        <f>original!L71/100*original!$BK71</f>
        <v>11656.2453</v>
      </c>
      <c r="M15" s="8">
        <f>original!M71/100*original!$BK71</f>
        <v>7120.9565</v>
      </c>
      <c r="N15" s="8">
        <f>original!N71/100*original!$BK71</f>
        <v>8088.8535</v>
      </c>
      <c r="O15" s="8">
        <f>original!O71/100*original!$BK71</f>
        <v>5779.7278</v>
      </c>
      <c r="P15" s="8">
        <f>original!P71/100*original!$BK71</f>
        <v>3788.6254</v>
      </c>
      <c r="Q15" s="8">
        <f>original!Q71/100*original!$BK71</f>
        <v>2682.4574</v>
      </c>
      <c r="R15" s="8">
        <f>original!R71/100*original!$BK71</f>
        <v>1714.5604</v>
      </c>
      <c r="S15" s="8">
        <f>original!S71/100*original!$BK71</f>
        <v>760.4905</v>
      </c>
      <c r="T15" s="8">
        <f>original!T71/100*original!$BK71</f>
        <v>221.2336</v>
      </c>
      <c r="U15" s="8">
        <f>original!U71/100*original!$BK71</f>
        <v>55.3084</v>
      </c>
      <c r="V15" s="8">
        <f>original!V71/100*original!$BK71</f>
        <v>4383.1907</v>
      </c>
      <c r="W15" s="8">
        <f>original!W71/100*original!$BK71</f>
        <v>4134.3029</v>
      </c>
      <c r="X15" s="8">
        <f>original!X71/100*original!$BK71</f>
        <v>3913.0693</v>
      </c>
      <c r="Y15" s="8">
        <f>original!Y71/100*original!$BK71</f>
        <v>3968.3777</v>
      </c>
      <c r="Z15" s="8">
        <f>original!Z71/100*original!$BK71</f>
        <v>4936.2747</v>
      </c>
      <c r="AA15" s="8">
        <f>original!AA71/100*original!$BK71</f>
        <v>6471.0828</v>
      </c>
      <c r="AB15" s="8">
        <f>original!AB71/100*original!$BK71</f>
        <v>5268.1251</v>
      </c>
      <c r="AC15" s="8">
        <f>original!AC71/100*original!$BK71</f>
        <v>4894.7934</v>
      </c>
      <c r="AD15" s="8">
        <f>original!AD71/100*original!$BK71</f>
        <v>5765.9007</v>
      </c>
      <c r="AE15" s="8">
        <f>original!AE71/100*original!$BK71</f>
        <v>6346.6389</v>
      </c>
      <c r="AF15" s="8">
        <f>original!AF71/100*original!$BK71</f>
        <v>5904.1717</v>
      </c>
      <c r="AG15" s="8">
        <f>original!AG71/100*original!$BK71</f>
        <v>3608.8731</v>
      </c>
      <c r="AH15" s="8">
        <f>original!AH71/100*original!$BK71</f>
        <v>4037.5132</v>
      </c>
      <c r="AI15" s="8">
        <f>original!AI71/100*original!$BK71</f>
        <v>2848.3826</v>
      </c>
      <c r="AJ15" s="8">
        <f>original!AJ71/100*original!$BK71</f>
        <v>1852.8314</v>
      </c>
      <c r="AK15" s="8">
        <f>original!AK71/100*original!$BK71</f>
        <v>1285.9203</v>
      </c>
      <c r="AL15" s="8">
        <f>original!AL71/100*original!$BK71</f>
        <v>774.3176</v>
      </c>
      <c r="AM15" s="8">
        <f>original!AM71/100*original!$BK71</f>
        <v>318.0233</v>
      </c>
      <c r="AN15" s="8">
        <f>original!AN71/100*original!$BK71</f>
        <v>69.1355</v>
      </c>
      <c r="AO15" s="8">
        <f>original!AO71/100*original!$BK71</f>
        <v>13.8271</v>
      </c>
      <c r="AP15" s="8">
        <f>original!AP71/100*original!$BK71</f>
        <v>3788.6254</v>
      </c>
      <c r="AQ15" s="8">
        <f>original!AQ71/100*original!$BK71</f>
        <v>3484.4292</v>
      </c>
      <c r="AR15" s="8">
        <f>original!AR71/100*original!$BK71</f>
        <v>3304.6769</v>
      </c>
      <c r="AS15" s="8">
        <f>original!AS71/100*original!$BK71</f>
        <v>3387.6395</v>
      </c>
      <c r="AT15" s="8">
        <f>original!AT71/100*original!$BK71</f>
        <v>4507.6346</v>
      </c>
      <c r="AU15" s="8">
        <f>original!AU71/100*original!$BK71</f>
        <v>6263.6763</v>
      </c>
      <c r="AV15" s="8">
        <f>original!AV71/100*original!$BK71</f>
        <v>5198.9896</v>
      </c>
      <c r="AW15" s="8">
        <f>original!AW71/100*original!$BK71</f>
        <v>4715.0411</v>
      </c>
      <c r="AX15" s="8">
        <f>original!AX71/100*original!$BK71</f>
        <v>5544.6671</v>
      </c>
      <c r="AY15" s="8">
        <f>original!AY71/100*original!$BK71</f>
        <v>6139.2324</v>
      </c>
      <c r="AZ15" s="8">
        <f>original!AZ71/100*original!$BK71</f>
        <v>5752.0736</v>
      </c>
      <c r="BA15" s="8">
        <f>original!BA71/100*original!$BK71</f>
        <v>3512.0834</v>
      </c>
      <c r="BB15" s="8">
        <f>original!BB71/100*original!$BK71</f>
        <v>4051.3403</v>
      </c>
      <c r="BC15" s="8">
        <f>original!BC71/100*original!$BK71</f>
        <v>2931.3452</v>
      </c>
      <c r="BD15" s="8">
        <f>original!BD71/100*original!$BK71</f>
        <v>1921.9669</v>
      </c>
      <c r="BE15" s="8">
        <f>original!BE71/100*original!$BK71</f>
        <v>1396.5371</v>
      </c>
      <c r="BF15" s="8">
        <f>original!BF71/100*original!$BK71</f>
        <v>940.2428</v>
      </c>
      <c r="BG15" s="8">
        <f>original!BG71/100*original!$BK71</f>
        <v>456.2943</v>
      </c>
      <c r="BH15" s="8">
        <f>original!BH71/100*original!$BK71</f>
        <v>152.0981</v>
      </c>
      <c r="BI15" s="8">
        <f>original!BI71/100*original!$BK71</f>
        <v>27.6542</v>
      </c>
    </row>
    <row r="16" spans="1:61">
      <c r="A16" s="4">
        <v>43100</v>
      </c>
      <c r="B16" s="8">
        <f>original!B72/100*original!$BK72</f>
        <v>8284.8768</v>
      </c>
      <c r="C16" s="8">
        <f>original!C72/100*original!$BK72</f>
        <v>7687.1424</v>
      </c>
      <c r="D16" s="8">
        <f>original!D72/100*original!$BK72</f>
        <v>7367.424</v>
      </c>
      <c r="E16" s="8">
        <f>original!E72/100*original!$BK72</f>
        <v>7186.7136</v>
      </c>
      <c r="F16" s="8">
        <f>original!F72/100*original!$BK72</f>
        <v>8882.6112</v>
      </c>
      <c r="G16" s="8">
        <f>original!G72/100*original!$BK72</f>
        <v>12218.8032</v>
      </c>
      <c r="H16" s="8">
        <f>original!H72/100*original!$BK72</f>
        <v>10800.9216</v>
      </c>
      <c r="I16" s="8">
        <f>original!I72/100*original!$BK72</f>
        <v>10022.4768</v>
      </c>
      <c r="J16" s="8">
        <f>original!J72/100*original!$BK72</f>
        <v>10648.0128</v>
      </c>
      <c r="K16" s="8">
        <f>original!K72/100*original!$BK72</f>
        <v>12802.6368</v>
      </c>
      <c r="L16" s="8">
        <f>original!L72/100*original!$BK72</f>
        <v>11746.176</v>
      </c>
      <c r="M16" s="8">
        <f>original!M72/100*original!$BK72</f>
        <v>7256.2176</v>
      </c>
      <c r="N16" s="8">
        <f>original!N72/100*original!$BK72</f>
        <v>8257.0752</v>
      </c>
      <c r="O16" s="8">
        <f>original!O72/100*original!$BK72</f>
        <v>6255.36</v>
      </c>
      <c r="P16" s="8">
        <f>original!P72/100*original!$BK72</f>
        <v>3961.728</v>
      </c>
      <c r="Q16" s="8">
        <f>original!Q72/100*original!$BK72</f>
        <v>2738.4576</v>
      </c>
      <c r="R16" s="8">
        <f>original!R72/100*original!$BK72</f>
        <v>1779.3024</v>
      </c>
      <c r="S16" s="8">
        <f>original!S72/100*original!$BK72</f>
        <v>806.2464</v>
      </c>
      <c r="T16" s="8">
        <f>original!T72/100*original!$BK72</f>
        <v>236.3136</v>
      </c>
      <c r="U16" s="8">
        <f>original!U72/100*original!$BK72</f>
        <v>55.6032</v>
      </c>
      <c r="V16" s="8">
        <f>original!V72/100*original!$BK72</f>
        <v>4420.4544</v>
      </c>
      <c r="W16" s="8">
        <f>original!W72/100*original!$BK72</f>
        <v>4170.24</v>
      </c>
      <c r="X16" s="8">
        <f>original!X72/100*original!$BK72</f>
        <v>4003.4304</v>
      </c>
      <c r="Y16" s="8">
        <f>original!Y72/100*original!$BK72</f>
        <v>3892.224</v>
      </c>
      <c r="Z16" s="8">
        <f>original!Z72/100*original!$BK72</f>
        <v>4670.6688</v>
      </c>
      <c r="AA16" s="8">
        <f>original!AA72/100*original!$BK72</f>
        <v>6241.4592</v>
      </c>
      <c r="AB16" s="8">
        <f>original!AB72/100*original!$BK72</f>
        <v>5421.312</v>
      </c>
      <c r="AC16" s="8">
        <f>original!AC72/100*original!$BK72</f>
        <v>5087.6928</v>
      </c>
      <c r="AD16" s="8">
        <f>original!AD72/100*original!$BK72</f>
        <v>5435.2128</v>
      </c>
      <c r="AE16" s="8">
        <f>original!AE72/100*original!$BK72</f>
        <v>6519.4752</v>
      </c>
      <c r="AF16" s="8">
        <f>original!AF72/100*original!$BK72</f>
        <v>5949.5424</v>
      </c>
      <c r="AG16" s="8">
        <f>original!AG72/100*original!$BK72</f>
        <v>3669.8112</v>
      </c>
      <c r="AH16" s="8">
        <f>original!AH72/100*original!$BK72</f>
        <v>4128.5376</v>
      </c>
      <c r="AI16" s="8">
        <f>original!AI72/100*original!$BK72</f>
        <v>3072.0768</v>
      </c>
      <c r="AJ16" s="8">
        <f>original!AJ72/100*original!$BK72</f>
        <v>1918.3104</v>
      </c>
      <c r="AK16" s="8">
        <f>original!AK72/100*original!$BK72</f>
        <v>1306.6752</v>
      </c>
      <c r="AL16" s="8">
        <f>original!AL72/100*original!$BK72</f>
        <v>806.2464</v>
      </c>
      <c r="AM16" s="8">
        <f>original!AM72/100*original!$BK72</f>
        <v>333.6192</v>
      </c>
      <c r="AN16" s="8">
        <f>original!AN72/100*original!$BK72</f>
        <v>83.4048</v>
      </c>
      <c r="AO16" s="8">
        <f>original!AO72/100*original!$BK72</f>
        <v>13.9008</v>
      </c>
      <c r="AP16" s="8">
        <f>original!AP72/100*original!$BK72</f>
        <v>3864.4224</v>
      </c>
      <c r="AQ16" s="8">
        <f>original!AQ72/100*original!$BK72</f>
        <v>3516.9024</v>
      </c>
      <c r="AR16" s="8">
        <f>original!AR72/100*original!$BK72</f>
        <v>3377.8944</v>
      </c>
      <c r="AS16" s="8">
        <f>original!AS72/100*original!$BK72</f>
        <v>3308.3904</v>
      </c>
      <c r="AT16" s="8">
        <f>original!AT72/100*original!$BK72</f>
        <v>4211.9424</v>
      </c>
      <c r="AU16" s="8">
        <f>original!AU72/100*original!$BK72</f>
        <v>5977.344</v>
      </c>
      <c r="AV16" s="8">
        <f>original!AV72/100*original!$BK72</f>
        <v>5365.7088</v>
      </c>
      <c r="AW16" s="8">
        <f>original!AW72/100*original!$BK72</f>
        <v>4934.784</v>
      </c>
      <c r="AX16" s="8">
        <f>original!AX72/100*original!$BK72</f>
        <v>5212.8</v>
      </c>
      <c r="AY16" s="8">
        <f>original!AY72/100*original!$BK72</f>
        <v>6283.1616</v>
      </c>
      <c r="AZ16" s="8">
        <f>original!AZ72/100*original!$BK72</f>
        <v>5796.6336</v>
      </c>
      <c r="BA16" s="8">
        <f>original!BA72/100*original!$BK72</f>
        <v>3586.4064</v>
      </c>
      <c r="BB16" s="8">
        <f>original!BB72/100*original!$BK72</f>
        <v>4128.5376</v>
      </c>
      <c r="BC16" s="8">
        <f>original!BC72/100*original!$BK72</f>
        <v>3183.2832</v>
      </c>
      <c r="BD16" s="8">
        <f>original!BD72/100*original!$BK72</f>
        <v>2043.4176</v>
      </c>
      <c r="BE16" s="8">
        <f>original!BE72/100*original!$BK72</f>
        <v>1431.7824</v>
      </c>
      <c r="BF16" s="8">
        <f>original!BF72/100*original!$BK72</f>
        <v>973.056</v>
      </c>
      <c r="BG16" s="8">
        <f>original!BG72/100*original!$BK72</f>
        <v>472.6272</v>
      </c>
      <c r="BH16" s="8">
        <f>original!BH72/100*original!$BK72</f>
        <v>152.9088</v>
      </c>
      <c r="BI16" s="8">
        <f>original!BI72/100*original!$BK72</f>
        <v>41.7024</v>
      </c>
    </row>
    <row r="17" spans="1:61">
      <c r="A17" s="4">
        <v>43465</v>
      </c>
      <c r="B17" s="8">
        <f>original!B73/100*original!$BK73</f>
        <v>8218.7882</v>
      </c>
      <c r="C17" s="8">
        <f>original!C73/100*original!$BK73</f>
        <v>7716.4514</v>
      </c>
      <c r="D17" s="8">
        <f>original!D73/100*original!$BK73</f>
        <v>7590.8672</v>
      </c>
      <c r="E17" s="8">
        <f>original!E73/100*original!$BK73</f>
        <v>7102.4842</v>
      </c>
      <c r="F17" s="8">
        <f>original!F73/100*original!$BK73</f>
        <v>8302.511</v>
      </c>
      <c r="G17" s="8">
        <f>original!G73/100*original!$BK73</f>
        <v>11330.4856</v>
      </c>
      <c r="H17" s="8">
        <f>original!H73/100*original!$BK73</f>
        <v>11358.3932</v>
      </c>
      <c r="I17" s="8">
        <f>original!I73/100*original!$BK73</f>
        <v>9976.967</v>
      </c>
      <c r="J17" s="8">
        <f>original!J73/100*original!$BK73</f>
        <v>10186.274</v>
      </c>
      <c r="K17" s="8">
        <f>original!K73/100*original!$BK73</f>
        <v>12474.6972</v>
      </c>
      <c r="L17" s="8">
        <f>original!L73/100*original!$BK73</f>
        <v>11804.9148</v>
      </c>
      <c r="M17" s="8">
        <f>original!M73/100*original!$BK73</f>
        <v>8511.818</v>
      </c>
      <c r="N17" s="8">
        <f>original!N73/100*original!$BK73</f>
        <v>8288.5572</v>
      </c>
      <c r="O17" s="8">
        <f>original!O73/100*original!$BK73</f>
        <v>6683.8702</v>
      </c>
      <c r="P17" s="8">
        <f>original!P73/100*original!$BK73</f>
        <v>4241.9552</v>
      </c>
      <c r="Q17" s="8">
        <f>original!Q73/100*original!$BK73</f>
        <v>2776.8062</v>
      </c>
      <c r="R17" s="8">
        <f>original!R73/100*original!$BK73</f>
        <v>1813.994</v>
      </c>
      <c r="S17" s="8">
        <f>original!S73/100*original!$BK73</f>
        <v>837.228</v>
      </c>
      <c r="T17" s="8">
        <f>original!T73/100*original!$BK73</f>
        <v>251.1684</v>
      </c>
      <c r="U17" s="8">
        <f>original!U73/100*original!$BK73</f>
        <v>55.8152</v>
      </c>
      <c r="V17" s="8">
        <f>original!V73/100*original!$BK73</f>
        <v>4381.4932</v>
      </c>
      <c r="W17" s="8">
        <f>original!W73/100*original!$BK73</f>
        <v>4172.1862</v>
      </c>
      <c r="X17" s="8">
        <f>original!X73/100*original!$BK73</f>
        <v>4116.371</v>
      </c>
      <c r="Y17" s="8">
        <f>original!Y73/100*original!$BK73</f>
        <v>3851.2488</v>
      </c>
      <c r="Z17" s="8">
        <f>original!Z73/100*original!$BK73</f>
        <v>4395.447</v>
      </c>
      <c r="AA17" s="8">
        <f>original!AA73/100*original!$BK73</f>
        <v>5818.7346</v>
      </c>
      <c r="AB17" s="8">
        <f>original!AB73/100*original!$BK73</f>
        <v>5707.1042</v>
      </c>
      <c r="AC17" s="8">
        <f>original!AC73/100*original!$BK73</f>
        <v>5065.2294</v>
      </c>
      <c r="AD17" s="8">
        <f>original!AD73/100*original!$BK73</f>
        <v>5190.8136</v>
      </c>
      <c r="AE17" s="8">
        <f>original!AE73/100*original!$BK73</f>
        <v>6348.979</v>
      </c>
      <c r="AF17" s="8">
        <f>original!AF73/100*original!$BK73</f>
        <v>5972.2264</v>
      </c>
      <c r="AG17" s="8">
        <f>original!AG73/100*original!$BK73</f>
        <v>4297.7704</v>
      </c>
      <c r="AH17" s="8">
        <f>original!AH73/100*original!$BK73</f>
        <v>4158.2324</v>
      </c>
      <c r="AI17" s="8">
        <f>original!AI73/100*original!$BK73</f>
        <v>3293.0968</v>
      </c>
      <c r="AJ17" s="8">
        <f>original!AJ73/100*original!$BK73</f>
        <v>2065.1624</v>
      </c>
      <c r="AK17" s="8">
        <f>original!AK73/100*original!$BK73</f>
        <v>1311.6572</v>
      </c>
      <c r="AL17" s="8">
        <f>original!AL73/100*original!$BK73</f>
        <v>781.4128</v>
      </c>
      <c r="AM17" s="8">
        <f>original!AM73/100*original!$BK73</f>
        <v>348.845</v>
      </c>
      <c r="AN17" s="8">
        <f>original!AN73/100*original!$BK73</f>
        <v>83.7228</v>
      </c>
      <c r="AO17" s="8">
        <f>original!AO73/100*original!$BK73</f>
        <v>13.9538</v>
      </c>
      <c r="AP17" s="8">
        <f>original!AP73/100*original!$BK73</f>
        <v>3837.295</v>
      </c>
      <c r="AQ17" s="8">
        <f>original!AQ73/100*original!$BK73</f>
        <v>3544.2652</v>
      </c>
      <c r="AR17" s="8">
        <f>original!AR73/100*original!$BK73</f>
        <v>3474.4962</v>
      </c>
      <c r="AS17" s="8">
        <f>original!AS73/100*original!$BK73</f>
        <v>3251.2354</v>
      </c>
      <c r="AT17" s="8">
        <f>original!AT73/100*original!$BK73</f>
        <v>3893.1102</v>
      </c>
      <c r="AU17" s="8">
        <f>original!AU73/100*original!$BK73</f>
        <v>5511.751</v>
      </c>
      <c r="AV17" s="8">
        <f>original!AV73/100*original!$BK73</f>
        <v>5651.289</v>
      </c>
      <c r="AW17" s="8">
        <f>original!AW73/100*original!$BK73</f>
        <v>4925.6914</v>
      </c>
      <c r="AX17" s="8">
        <f>original!AX73/100*original!$BK73</f>
        <v>4995.4604</v>
      </c>
      <c r="AY17" s="8">
        <f>original!AY73/100*original!$BK73</f>
        <v>6125.7182</v>
      </c>
      <c r="AZ17" s="8">
        <f>original!AZ73/100*original!$BK73</f>
        <v>5846.6422</v>
      </c>
      <c r="BA17" s="8">
        <f>original!BA73/100*original!$BK73</f>
        <v>4228.0014</v>
      </c>
      <c r="BB17" s="8">
        <f>original!BB73/100*original!$BK73</f>
        <v>4130.3248</v>
      </c>
      <c r="BC17" s="8">
        <f>original!BC73/100*original!$BK73</f>
        <v>3390.7734</v>
      </c>
      <c r="BD17" s="8">
        <f>original!BD73/100*original!$BK73</f>
        <v>2176.7928</v>
      </c>
      <c r="BE17" s="8">
        <f>original!BE73/100*original!$BK73</f>
        <v>1465.149</v>
      </c>
      <c r="BF17" s="8">
        <f>original!BF73/100*original!$BK73</f>
        <v>1018.6274</v>
      </c>
      <c r="BG17" s="8">
        <f>original!BG73/100*original!$BK73</f>
        <v>488.383</v>
      </c>
      <c r="BH17" s="8">
        <f>original!BH73/100*original!$BK73</f>
        <v>167.4456</v>
      </c>
      <c r="BI17" s="8">
        <f>original!BI73/100*original!$BK73</f>
        <v>41.8614</v>
      </c>
    </row>
    <row r="18" spans="1:61">
      <c r="A18" s="4">
        <v>43830</v>
      </c>
      <c r="B18" s="8">
        <f>original!B74/100*original!$BK74</f>
        <v>8036.287</v>
      </c>
      <c r="C18" s="8">
        <f>original!C74/100*original!$BK74</f>
        <v>7784.278</v>
      </c>
      <c r="D18" s="8">
        <f>original!D74/100*original!$BK74</f>
        <v>7672.274</v>
      </c>
      <c r="E18" s="8">
        <f>original!E74/100*original!$BK74</f>
        <v>7154.2555</v>
      </c>
      <c r="F18" s="8">
        <f>original!F74/100*original!$BK74</f>
        <v>7882.2815</v>
      </c>
      <c r="G18" s="8">
        <f>original!G74/100*original!$BK74</f>
        <v>10486.3745</v>
      </c>
      <c r="H18" s="8">
        <f>original!H74/100*original!$BK74</f>
        <v>12054.4305</v>
      </c>
      <c r="I18" s="8">
        <f>original!I74/100*original!$BK74</f>
        <v>9968.356</v>
      </c>
      <c r="J18" s="8">
        <f>original!J74/100*original!$BK74</f>
        <v>9884.353</v>
      </c>
      <c r="K18" s="8">
        <f>original!K74/100*original!$BK74</f>
        <v>12264.438</v>
      </c>
      <c r="L18" s="8">
        <f>original!L74/100*original!$BK74</f>
        <v>11942.4265</v>
      </c>
      <c r="M18" s="8">
        <f>original!M74/100*original!$BK74</f>
        <v>9492.339</v>
      </c>
      <c r="N18" s="8">
        <f>original!N74/100*original!$BK74</f>
        <v>7784.278</v>
      </c>
      <c r="O18" s="8">
        <f>original!O74/100*original!$BK74</f>
        <v>7070.2525</v>
      </c>
      <c r="P18" s="8">
        <f>original!P74/100*original!$BK74</f>
        <v>4578.1635</v>
      </c>
      <c r="Q18" s="8">
        <f>original!Q74/100*original!$BK74</f>
        <v>2898.1035</v>
      </c>
      <c r="R18" s="8">
        <f>original!R74/100*original!$BK74</f>
        <v>1834.0655</v>
      </c>
      <c r="S18" s="8">
        <f>original!S74/100*original!$BK74</f>
        <v>896.032</v>
      </c>
      <c r="T18" s="8">
        <f>original!T74/100*original!$BK74</f>
        <v>266.0095</v>
      </c>
      <c r="U18" s="8">
        <f>original!U74/100*original!$BK74</f>
        <v>56.002</v>
      </c>
      <c r="V18" s="8">
        <f>original!V74/100*original!$BK74</f>
        <v>4284.153</v>
      </c>
      <c r="W18" s="8">
        <f>original!W74/100*original!$BK74</f>
        <v>4200.15</v>
      </c>
      <c r="X18" s="8">
        <f>original!X74/100*original!$BK74</f>
        <v>4172.149</v>
      </c>
      <c r="Y18" s="8">
        <f>original!Y74/100*original!$BK74</f>
        <v>3878.1385</v>
      </c>
      <c r="Z18" s="8">
        <f>original!Z74/100*original!$BK74</f>
        <v>4214.1505</v>
      </c>
      <c r="AA18" s="8">
        <f>original!AA74/100*original!$BK74</f>
        <v>5404.193</v>
      </c>
      <c r="AB18" s="8">
        <f>original!AB74/100*original!$BK74</f>
        <v>6062.2165</v>
      </c>
      <c r="AC18" s="8">
        <f>original!AC74/100*original!$BK74</f>
        <v>5040.18</v>
      </c>
      <c r="AD18" s="8">
        <f>original!AD74/100*original!$BK74</f>
        <v>5026.1795</v>
      </c>
      <c r="AE18" s="8">
        <f>original!AE74/100*original!$BK74</f>
        <v>6244.223</v>
      </c>
      <c r="AF18" s="8">
        <f>original!AF74/100*original!$BK74</f>
        <v>6034.2155</v>
      </c>
      <c r="AG18" s="8">
        <f>original!AG74/100*original!$BK74</f>
        <v>4774.1705</v>
      </c>
      <c r="AH18" s="8">
        <f>original!AH74/100*original!$BK74</f>
        <v>3906.1395</v>
      </c>
      <c r="AI18" s="8">
        <f>original!AI74/100*original!$BK74</f>
        <v>3458.1235</v>
      </c>
      <c r="AJ18" s="8">
        <f>original!AJ74/100*original!$BK74</f>
        <v>2212.079</v>
      </c>
      <c r="AK18" s="8">
        <f>original!AK74/100*original!$BK74</f>
        <v>1358.0485</v>
      </c>
      <c r="AL18" s="8">
        <f>original!AL74/100*original!$BK74</f>
        <v>798.0285</v>
      </c>
      <c r="AM18" s="8">
        <f>original!AM74/100*original!$BK74</f>
        <v>378.0135</v>
      </c>
      <c r="AN18" s="8">
        <f>original!AN74/100*original!$BK74</f>
        <v>98.0035</v>
      </c>
      <c r="AO18" s="8">
        <f>original!AO74/100*original!$BK74</f>
        <v>14.0005</v>
      </c>
      <c r="AP18" s="8">
        <f>original!AP74/100*original!$BK74</f>
        <v>3766.1345</v>
      </c>
      <c r="AQ18" s="8">
        <f>original!AQ74/100*original!$BK74</f>
        <v>3584.128</v>
      </c>
      <c r="AR18" s="8">
        <f>original!AR74/100*original!$BK74</f>
        <v>3500.125</v>
      </c>
      <c r="AS18" s="8">
        <f>original!AS74/100*original!$BK74</f>
        <v>3276.117</v>
      </c>
      <c r="AT18" s="8">
        <f>original!AT74/100*original!$BK74</f>
        <v>3682.1315</v>
      </c>
      <c r="AU18" s="8">
        <f>original!AU74/100*original!$BK74</f>
        <v>5068.181</v>
      </c>
      <c r="AV18" s="8">
        <f>original!AV74/100*original!$BK74</f>
        <v>5992.214</v>
      </c>
      <c r="AW18" s="8">
        <f>original!AW74/100*original!$BK74</f>
        <v>4928.176</v>
      </c>
      <c r="AX18" s="8">
        <f>original!AX74/100*original!$BK74</f>
        <v>4844.173</v>
      </c>
      <c r="AY18" s="8">
        <f>original!AY74/100*original!$BK74</f>
        <v>6020.215</v>
      </c>
      <c r="AZ18" s="8">
        <f>original!AZ74/100*original!$BK74</f>
        <v>5908.211</v>
      </c>
      <c r="BA18" s="8">
        <f>original!BA74/100*original!$BK74</f>
        <v>4732.169</v>
      </c>
      <c r="BB18" s="8">
        <f>original!BB74/100*original!$BK74</f>
        <v>3878.1385</v>
      </c>
      <c r="BC18" s="8">
        <f>original!BC74/100*original!$BK74</f>
        <v>3612.129</v>
      </c>
      <c r="BD18" s="8">
        <f>original!BD74/100*original!$BK74</f>
        <v>2352.084</v>
      </c>
      <c r="BE18" s="8">
        <f>original!BE74/100*original!$BK74</f>
        <v>1540.055</v>
      </c>
      <c r="BF18" s="8">
        <f>original!BF74/100*original!$BK74</f>
        <v>1036.037</v>
      </c>
      <c r="BG18" s="8">
        <f>original!BG74/100*original!$BK74</f>
        <v>532.019</v>
      </c>
      <c r="BH18" s="8">
        <f>original!BH74/100*original!$BK74</f>
        <v>182.0065</v>
      </c>
      <c r="BI18" s="8">
        <f>original!BI74/100*original!$BK74</f>
        <v>42.0015</v>
      </c>
    </row>
    <row r="19" spans="1:61">
      <c r="A19" s="4">
        <v>44196</v>
      </c>
      <c r="B19" s="8">
        <f>[1]表5全国及各地区人口年龄结构!$B$8*B18/SUM($B18:$D18)/10000</f>
        <v>8667.60312348033</v>
      </c>
      <c r="C19" s="8">
        <f>[1]表5全国及各地区人口年龄结构!$B$8*C18/SUM($B18:$D18)/10000</f>
        <v>8395.79675375447</v>
      </c>
      <c r="D19" s="8">
        <f>[1]表5全国及各地区人口年龄结构!$B$8*D18/SUM($B18:$D18)/10000</f>
        <v>8274.9939227652</v>
      </c>
      <c r="E19" s="8">
        <f>[1]表5全国及各地区人口年龄结构!$B$9*E18/SUM($E18:$M18)/10000</f>
        <v>7021.4494733446</v>
      </c>
      <c r="F19" s="8">
        <f>[1]表5全国及各地区人口年龄结构!$B$9*F18/SUM($E18:$M18)/10000</f>
        <v>7735.96096573974</v>
      </c>
      <c r="G19" s="8">
        <f>[1]表5全国及各地区人口年龄结构!$B$9*G18/SUM($E18:$M18)/10000</f>
        <v>10291.7136116147</v>
      </c>
      <c r="H19" s="8">
        <f>[1]表5全国及各地区人口年龄结构!$B$9*H18/SUM($E18:$M18)/10000</f>
        <v>11830.6614413888</v>
      </c>
      <c r="I19" s="8">
        <f>[1]表5全国及各地区人口年龄结构!$B$9*I18/SUM($E18:$M18)/10000</f>
        <v>9783.31120356429</v>
      </c>
      <c r="J19" s="8">
        <f>[1]表5全国及各地区人口年龄结构!$B$9*J18/SUM($E18:$M18)/10000</f>
        <v>9700.86756982639</v>
      </c>
      <c r="K19" s="8">
        <f>[1]表5全国及各地区人口年龄结构!$B$9*K18/SUM($E18:$M18)/10000</f>
        <v>12036.7705257336</v>
      </c>
      <c r="L19" s="8">
        <f>[1]表5全国及各地区人口年龄结构!$B$9*L18/SUM($E18:$M18)/10000</f>
        <v>11720.736596405</v>
      </c>
      <c r="M19" s="8">
        <f>[1]表5全国及各地区人口年龄结构!$B$9*M18/SUM($E18:$M18)/10000</f>
        <v>9316.13061238285</v>
      </c>
      <c r="N19" s="8">
        <f>([1]表5全国及各地区人口年龄结构!$B$10-[1]表5全国及各地区人口年龄结构!$B$11)/10000</f>
        <v>7338.3486</v>
      </c>
      <c r="O19" s="8">
        <f>[1]表5全国及各地区人口年龄结构!$B$11*O18/SUM($O18:$U18)/10000</f>
        <v>7658.77616547335</v>
      </c>
      <c r="P19" s="8">
        <f>[1]表5全国及各地区人口年龄结构!$B$11*P18/SUM($O18:$U18)/10000</f>
        <v>4959.24714081146</v>
      </c>
      <c r="Q19" s="8">
        <f>[1]表5全国及各地区人口年龄结构!$B$11*Q18/SUM($O18:$U18)/10000</f>
        <v>3139.33993317422</v>
      </c>
      <c r="R19" s="8">
        <f>[1]表5全国及各地区人口年龄结构!$B$11*R18/SUM($O18:$U18)/10000</f>
        <v>1986.73203500398</v>
      </c>
      <c r="S19" s="8">
        <f>[1]表5全国及各地区人口年龄结构!$B$11*S18/SUM($O18:$U18)/10000</f>
        <v>970.617177406524</v>
      </c>
      <c r="T19" s="8">
        <f>[1]表5全国及各地区人口年龄结构!$B$11*T18/SUM($O18:$U18)/10000</f>
        <v>288.151974542562</v>
      </c>
      <c r="U19" s="8">
        <f>[1]表5全国及各地区人口年龄结构!$B$11*U18/SUM($O18:$U18)/10000</f>
        <v>60.6635735879077</v>
      </c>
      <c r="V19" s="8">
        <f>original!V75/100*original!$BK75</f>
        <v>0</v>
      </c>
      <c r="W19" s="8">
        <f>original!W75/100*original!$BK75</f>
        <v>0</v>
      </c>
      <c r="X19" s="8">
        <f>original!X75/100*original!$BK75</f>
        <v>0</v>
      </c>
      <c r="Y19" s="8">
        <f>original!Y75/100*original!$BK75</f>
        <v>0</v>
      </c>
      <c r="Z19" s="8">
        <f>original!Z75/100*original!$BK75</f>
        <v>0</v>
      </c>
      <c r="AA19" s="8">
        <f>original!AA75/100*original!$BK75</f>
        <v>0</v>
      </c>
      <c r="AB19" s="8">
        <f>original!AB75/100*original!$BK75</f>
        <v>0</v>
      </c>
      <c r="AC19" s="8">
        <f>original!AC75/100*original!$BK75</f>
        <v>0</v>
      </c>
      <c r="AD19" s="8">
        <f>original!AD75/100*original!$BK75</f>
        <v>0</v>
      </c>
      <c r="AE19" s="8">
        <f>original!AE75/100*original!$BK75</f>
        <v>0</v>
      </c>
      <c r="AF19" s="8">
        <f>original!AF75/100*original!$BK75</f>
        <v>0</v>
      </c>
      <c r="AG19" s="8">
        <f>original!AG75/100*original!$BK75</f>
        <v>0</v>
      </c>
      <c r="AH19" s="8">
        <f>original!AH75/100*original!$BK75</f>
        <v>0</v>
      </c>
      <c r="AI19" s="8">
        <f>original!AI75/100*original!$BK75</f>
        <v>0</v>
      </c>
      <c r="AJ19" s="8">
        <f>original!AJ75/100*original!$BK75</f>
        <v>0</v>
      </c>
      <c r="AK19" s="8">
        <f>original!AK75/100*original!$BK75</f>
        <v>0</v>
      </c>
      <c r="AL19" s="8">
        <f>original!AL75/100*original!$BK75</f>
        <v>0</v>
      </c>
      <c r="AM19" s="8">
        <f>original!AM75/100*original!$BK75</f>
        <v>0</v>
      </c>
      <c r="AN19" s="8">
        <f>original!AN75/100*original!$BK75</f>
        <v>0</v>
      </c>
      <c r="AO19" s="8">
        <f>original!AO75/100*original!$BK75</f>
        <v>0</v>
      </c>
      <c r="AP19" s="8">
        <f>original!AP75/100*original!$BK75</f>
        <v>0</v>
      </c>
      <c r="AQ19" s="8">
        <f>original!AQ75/100*original!$BK75</f>
        <v>0</v>
      </c>
      <c r="AR19" s="8">
        <f>original!AR75/100*original!$BK75</f>
        <v>0</v>
      </c>
      <c r="AS19" s="8">
        <f>original!AS75/100*original!$BK75</f>
        <v>0</v>
      </c>
      <c r="AT19" s="8">
        <f>original!AT75/100*original!$BK75</f>
        <v>0</v>
      </c>
      <c r="AU19" s="8">
        <f>original!AU75/100*original!$BK75</f>
        <v>0</v>
      </c>
      <c r="AV19" s="8">
        <f>original!AV75/100*original!$BK75</f>
        <v>0</v>
      </c>
      <c r="AW19" s="8">
        <f>original!AW75/100*original!$BK75</f>
        <v>0</v>
      </c>
      <c r="AX19" s="8">
        <f>original!AX75/100*original!$BK75</f>
        <v>0</v>
      </c>
      <c r="AY19" s="8">
        <f>original!AY75/100*original!$BK75</f>
        <v>0</v>
      </c>
      <c r="AZ19" s="8">
        <f>original!AZ75/100*original!$BK75</f>
        <v>0</v>
      </c>
      <c r="BA19" s="8">
        <f>original!BA75/100*original!$BK75</f>
        <v>0</v>
      </c>
      <c r="BB19" s="8">
        <f>original!BB75/100*original!$BK75</f>
        <v>0</v>
      </c>
      <c r="BC19" s="8">
        <f>original!BC75/100*original!$BK75</f>
        <v>0</v>
      </c>
      <c r="BD19" s="8">
        <f>original!BD75/100*original!$BK75</f>
        <v>0</v>
      </c>
      <c r="BE19" s="8">
        <f>original!BE75/100*original!$BK75</f>
        <v>0</v>
      </c>
      <c r="BF19" s="8">
        <f>original!BF75/100*original!$BK75</f>
        <v>0</v>
      </c>
      <c r="BG19" s="8">
        <f>original!BG75/100*original!$BK75</f>
        <v>0</v>
      </c>
      <c r="BH19" s="8">
        <f>original!BH75/100*original!$BK75</f>
        <v>0</v>
      </c>
      <c r="BI19" s="8">
        <f>original!BI75/100*original!$BK75</f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75"/>
  <sheetViews>
    <sheetView workbookViewId="0">
      <pane xSplit="1" ySplit="3" topLeftCell="AY59" activePane="bottomRight" state="frozen"/>
      <selection/>
      <selection pane="topRight"/>
      <selection pane="bottomLeft"/>
      <selection pane="bottomRight" activeCell="A77" sqref="$A77:$XFD77"/>
    </sheetView>
  </sheetViews>
  <sheetFormatPr defaultColWidth="9" defaultRowHeight="14.4"/>
  <cols>
    <col min="1" max="61" width="9" style="1"/>
    <col min="62" max="63" width="14" style="1" customWidth="1"/>
    <col min="64" max="64" width="12.75" customWidth="1"/>
  </cols>
  <sheetData>
    <row r="1" ht="72" spans="1:63">
      <c r="A1" s="2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  <c r="AC1" s="2" t="s">
        <v>40</v>
      </c>
      <c r="AD1" s="2" t="s">
        <v>41</v>
      </c>
      <c r="AE1" s="2" t="s">
        <v>42</v>
      </c>
      <c r="AF1" s="2" t="s">
        <v>43</v>
      </c>
      <c r="AG1" s="2" t="s">
        <v>44</v>
      </c>
      <c r="AH1" s="2" t="s">
        <v>45</v>
      </c>
      <c r="AI1" s="2" t="s">
        <v>46</v>
      </c>
      <c r="AJ1" s="2" t="s">
        <v>47</v>
      </c>
      <c r="AK1" s="2" t="s">
        <v>48</v>
      </c>
      <c r="AL1" s="2" t="s">
        <v>49</v>
      </c>
      <c r="AM1" s="2" t="s">
        <v>50</v>
      </c>
      <c r="AN1" s="2" t="s">
        <v>51</v>
      </c>
      <c r="AO1" s="2" t="s">
        <v>52</v>
      </c>
      <c r="AP1" s="2" t="s">
        <v>53</v>
      </c>
      <c r="AQ1" s="2" t="s">
        <v>54</v>
      </c>
      <c r="AR1" s="2" t="s">
        <v>55</v>
      </c>
      <c r="AS1" s="2" t="s">
        <v>1</v>
      </c>
      <c r="AT1" s="2" t="s">
        <v>2</v>
      </c>
      <c r="AU1" s="2" t="s">
        <v>3</v>
      </c>
      <c r="AV1" s="2" t="s">
        <v>4</v>
      </c>
      <c r="AW1" s="2" t="s">
        <v>5</v>
      </c>
      <c r="AX1" s="2" t="s">
        <v>6</v>
      </c>
      <c r="AY1" s="2" t="s">
        <v>7</v>
      </c>
      <c r="AZ1" s="2" t="s">
        <v>56</v>
      </c>
      <c r="BA1" s="2" t="s">
        <v>57</v>
      </c>
      <c r="BB1" s="2" t="s">
        <v>58</v>
      </c>
      <c r="BC1" s="2" t="s">
        <v>59</v>
      </c>
      <c r="BD1" s="2" t="s">
        <v>60</v>
      </c>
      <c r="BE1" s="2" t="s">
        <v>61</v>
      </c>
      <c r="BF1" s="2" t="s">
        <v>62</v>
      </c>
      <c r="BG1" s="2" t="s">
        <v>63</v>
      </c>
      <c r="BH1" s="2" t="s">
        <v>64</v>
      </c>
      <c r="BI1" s="2" t="s">
        <v>65</v>
      </c>
      <c r="BJ1" s="2" t="s">
        <v>66</v>
      </c>
      <c r="BK1" s="2" t="s">
        <v>66</v>
      </c>
    </row>
    <row r="2" spans="1:63">
      <c r="A2" s="3" t="s">
        <v>67</v>
      </c>
      <c r="B2" s="3" t="s">
        <v>68</v>
      </c>
      <c r="C2" s="3" t="s">
        <v>68</v>
      </c>
      <c r="D2" s="3" t="s">
        <v>68</v>
      </c>
      <c r="E2" s="3" t="s">
        <v>68</v>
      </c>
      <c r="F2" s="3" t="s">
        <v>68</v>
      </c>
      <c r="G2" s="3" t="s">
        <v>68</v>
      </c>
      <c r="H2" s="3" t="s">
        <v>68</v>
      </c>
      <c r="I2" s="3" t="s">
        <v>68</v>
      </c>
      <c r="J2" s="3" t="s">
        <v>68</v>
      </c>
      <c r="K2" s="3" t="s">
        <v>68</v>
      </c>
      <c r="L2" s="3" t="s">
        <v>68</v>
      </c>
      <c r="M2" s="3" t="s">
        <v>68</v>
      </c>
      <c r="N2" s="3" t="s">
        <v>68</v>
      </c>
      <c r="O2" s="3" t="s">
        <v>68</v>
      </c>
      <c r="P2" s="3" t="s">
        <v>68</v>
      </c>
      <c r="Q2" s="3" t="s">
        <v>68</v>
      </c>
      <c r="R2" s="3" t="s">
        <v>68</v>
      </c>
      <c r="S2" s="3" t="s">
        <v>68</v>
      </c>
      <c r="T2" s="3" t="s">
        <v>68</v>
      </c>
      <c r="U2" s="3" t="s">
        <v>68</v>
      </c>
      <c r="V2" s="3" t="s">
        <v>68</v>
      </c>
      <c r="W2" s="3" t="s">
        <v>68</v>
      </c>
      <c r="X2" s="3" t="s">
        <v>68</v>
      </c>
      <c r="Y2" s="3" t="s">
        <v>68</v>
      </c>
      <c r="Z2" s="3" t="s">
        <v>68</v>
      </c>
      <c r="AA2" s="3" t="s">
        <v>68</v>
      </c>
      <c r="AB2" s="3" t="s">
        <v>68</v>
      </c>
      <c r="AC2" s="3" t="s">
        <v>68</v>
      </c>
      <c r="AD2" s="3" t="s">
        <v>68</v>
      </c>
      <c r="AE2" s="3" t="s">
        <v>68</v>
      </c>
      <c r="AF2" s="3" t="s">
        <v>68</v>
      </c>
      <c r="AG2" s="3" t="s">
        <v>68</v>
      </c>
      <c r="AH2" s="3" t="s">
        <v>68</v>
      </c>
      <c r="AI2" s="3" t="s">
        <v>68</v>
      </c>
      <c r="AJ2" s="3" t="s">
        <v>68</v>
      </c>
      <c r="AK2" s="3" t="s">
        <v>68</v>
      </c>
      <c r="AL2" s="3" t="s">
        <v>68</v>
      </c>
      <c r="AM2" s="3" t="s">
        <v>68</v>
      </c>
      <c r="AN2" s="3" t="s">
        <v>68</v>
      </c>
      <c r="AO2" s="3" t="s">
        <v>68</v>
      </c>
      <c r="AP2" s="3" t="s">
        <v>68</v>
      </c>
      <c r="AQ2" s="3" t="s">
        <v>68</v>
      </c>
      <c r="AR2" s="3" t="s">
        <v>68</v>
      </c>
      <c r="AS2" s="3" t="s">
        <v>68</v>
      </c>
      <c r="AT2" s="3" t="s">
        <v>68</v>
      </c>
      <c r="AU2" s="3" t="s">
        <v>68</v>
      </c>
      <c r="AV2" s="3" t="s">
        <v>68</v>
      </c>
      <c r="AW2" s="3" t="s">
        <v>68</v>
      </c>
      <c r="AX2" s="3" t="s">
        <v>68</v>
      </c>
      <c r="AY2" s="3" t="s">
        <v>68</v>
      </c>
      <c r="AZ2" s="3" t="s">
        <v>68</v>
      </c>
      <c r="BA2" s="3" t="s">
        <v>68</v>
      </c>
      <c r="BB2" s="3" t="s">
        <v>68</v>
      </c>
      <c r="BC2" s="3" t="s">
        <v>68</v>
      </c>
      <c r="BD2" s="3" t="s">
        <v>68</v>
      </c>
      <c r="BE2" s="3" t="s">
        <v>68</v>
      </c>
      <c r="BF2" s="3" t="s">
        <v>68</v>
      </c>
      <c r="BG2" s="3" t="s">
        <v>68</v>
      </c>
      <c r="BH2" s="3" t="s">
        <v>68</v>
      </c>
      <c r="BI2" s="3" t="s">
        <v>68</v>
      </c>
      <c r="BJ2" s="3" t="s">
        <v>68</v>
      </c>
      <c r="BK2" s="3" t="s">
        <v>68</v>
      </c>
    </row>
    <row r="3" spans="1:63">
      <c r="A3" s="3" t="s">
        <v>69</v>
      </c>
      <c r="B3" s="3" t="s">
        <v>70</v>
      </c>
      <c r="C3" s="3" t="s">
        <v>70</v>
      </c>
      <c r="D3" s="3" t="s">
        <v>70</v>
      </c>
      <c r="E3" s="3" t="s">
        <v>70</v>
      </c>
      <c r="F3" s="3" t="s">
        <v>70</v>
      </c>
      <c r="G3" s="3" t="s">
        <v>70</v>
      </c>
      <c r="H3" s="3" t="s">
        <v>70</v>
      </c>
      <c r="I3" s="3" t="s">
        <v>70</v>
      </c>
      <c r="J3" s="3" t="s">
        <v>70</v>
      </c>
      <c r="K3" s="3" t="s">
        <v>70</v>
      </c>
      <c r="L3" s="3" t="s">
        <v>70</v>
      </c>
      <c r="M3" s="3" t="s">
        <v>70</v>
      </c>
      <c r="N3" s="3" t="s">
        <v>70</v>
      </c>
      <c r="O3" s="3" t="s">
        <v>70</v>
      </c>
      <c r="P3" s="3" t="s">
        <v>70</v>
      </c>
      <c r="Q3" s="3" t="s">
        <v>70</v>
      </c>
      <c r="R3" s="3" t="s">
        <v>70</v>
      </c>
      <c r="S3" s="3" t="s">
        <v>70</v>
      </c>
      <c r="T3" s="3" t="s">
        <v>70</v>
      </c>
      <c r="U3" s="3" t="s">
        <v>70</v>
      </c>
      <c r="V3" s="3" t="s">
        <v>70</v>
      </c>
      <c r="W3" s="3" t="s">
        <v>70</v>
      </c>
      <c r="X3" s="3" t="s">
        <v>70</v>
      </c>
      <c r="Y3" s="3" t="s">
        <v>70</v>
      </c>
      <c r="Z3" s="3" t="s">
        <v>70</v>
      </c>
      <c r="AA3" s="3" t="s">
        <v>70</v>
      </c>
      <c r="AB3" s="3" t="s">
        <v>70</v>
      </c>
      <c r="AC3" s="3" t="s">
        <v>70</v>
      </c>
      <c r="AD3" s="3" t="s">
        <v>70</v>
      </c>
      <c r="AE3" s="3" t="s">
        <v>70</v>
      </c>
      <c r="AF3" s="3" t="s">
        <v>70</v>
      </c>
      <c r="AG3" s="3" t="s">
        <v>70</v>
      </c>
      <c r="AH3" s="3" t="s">
        <v>70</v>
      </c>
      <c r="AI3" s="3" t="s">
        <v>70</v>
      </c>
      <c r="AJ3" s="3" t="s">
        <v>70</v>
      </c>
      <c r="AK3" s="3" t="s">
        <v>70</v>
      </c>
      <c r="AL3" s="3" t="s">
        <v>70</v>
      </c>
      <c r="AM3" s="3" t="s">
        <v>70</v>
      </c>
      <c r="AN3" s="3" t="s">
        <v>70</v>
      </c>
      <c r="AO3" s="3" t="s">
        <v>70</v>
      </c>
      <c r="AP3" s="3" t="s">
        <v>70</v>
      </c>
      <c r="AQ3" s="3" t="s">
        <v>70</v>
      </c>
      <c r="AR3" s="3" t="s">
        <v>70</v>
      </c>
      <c r="AS3" s="3" t="s">
        <v>70</v>
      </c>
      <c r="AT3" s="3" t="s">
        <v>70</v>
      </c>
      <c r="AU3" s="3" t="s">
        <v>70</v>
      </c>
      <c r="AV3" s="3" t="s">
        <v>70</v>
      </c>
      <c r="AW3" s="3" t="s">
        <v>70</v>
      </c>
      <c r="AX3" s="3" t="s">
        <v>70</v>
      </c>
      <c r="AY3" s="3" t="s">
        <v>70</v>
      </c>
      <c r="AZ3" s="3" t="s">
        <v>70</v>
      </c>
      <c r="BA3" s="3" t="s">
        <v>70</v>
      </c>
      <c r="BB3" s="3" t="s">
        <v>70</v>
      </c>
      <c r="BC3" s="3" t="s">
        <v>70</v>
      </c>
      <c r="BD3" s="3" t="s">
        <v>70</v>
      </c>
      <c r="BE3" s="3" t="s">
        <v>70</v>
      </c>
      <c r="BF3" s="3" t="s">
        <v>70</v>
      </c>
      <c r="BG3" s="3" t="s">
        <v>70</v>
      </c>
      <c r="BH3" s="3" t="s">
        <v>70</v>
      </c>
      <c r="BI3" s="3" t="s">
        <v>70</v>
      </c>
      <c r="BJ3" s="3" t="s">
        <v>71</v>
      </c>
      <c r="BK3" s="3" t="s">
        <v>71</v>
      </c>
    </row>
    <row r="4" spans="1:63">
      <c r="A4" s="4">
        <v>18263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6">
        <v>54167</v>
      </c>
    </row>
    <row r="5" spans="1:63">
      <c r="A5" s="4">
        <v>18628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6">
        <v>55196</v>
      </c>
    </row>
    <row r="6" spans="1:63">
      <c r="A6" s="4">
        <v>18993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6">
        <v>56300</v>
      </c>
    </row>
    <row r="7" spans="1:63">
      <c r="A7" s="4">
        <v>19359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6">
        <v>57482</v>
      </c>
    </row>
    <row r="8" spans="1:63">
      <c r="A8" s="4">
        <v>19724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6">
        <v>59435</v>
      </c>
      <c r="BK8" s="6">
        <v>58796</v>
      </c>
    </row>
    <row r="9" spans="1:63">
      <c r="A9" s="4">
        <v>20089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6">
        <v>60266</v>
      </c>
    </row>
    <row r="10" spans="1:63">
      <c r="A10" s="4">
        <v>20454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6">
        <v>61465</v>
      </c>
    </row>
    <row r="11" spans="1:63">
      <c r="A11" s="4">
        <v>20820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6">
        <v>62828</v>
      </c>
    </row>
    <row r="12" spans="1:63">
      <c r="A12" s="4">
        <v>21185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6">
        <v>64653</v>
      </c>
    </row>
    <row r="13" spans="1:63">
      <c r="A13" s="4">
        <v>21550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6">
        <v>65994</v>
      </c>
    </row>
    <row r="14" spans="1:63">
      <c r="A14" s="4">
        <v>21915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6">
        <v>67207</v>
      </c>
    </row>
    <row r="15" spans="1:63">
      <c r="A15" s="4">
        <v>22281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6">
        <v>66207</v>
      </c>
    </row>
    <row r="16" spans="1:63">
      <c r="A16" s="4">
        <v>22646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6">
        <v>65859</v>
      </c>
    </row>
    <row r="17" spans="1:63">
      <c r="A17" s="4">
        <v>23011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6">
        <v>67295</v>
      </c>
    </row>
    <row r="18" spans="1:63">
      <c r="A18" s="4">
        <v>23376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6">
        <v>69172</v>
      </c>
    </row>
    <row r="19" spans="1:63">
      <c r="A19" s="4">
        <v>23742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6">
        <v>69458</v>
      </c>
      <c r="BK19" s="6">
        <v>70499</v>
      </c>
    </row>
    <row r="20" spans="1:63">
      <c r="A20" s="4">
        <v>24107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6">
        <v>72538</v>
      </c>
    </row>
    <row r="21" spans="1:63">
      <c r="A21" s="4">
        <v>24472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6">
        <v>74542</v>
      </c>
    </row>
    <row r="22" spans="1:63">
      <c r="A22" s="4">
        <v>24837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6">
        <v>76368</v>
      </c>
    </row>
    <row r="23" spans="1:63">
      <c r="A23" s="4">
        <v>25203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6">
        <v>78534</v>
      </c>
    </row>
    <row r="24" spans="1:63">
      <c r="A24" s="4">
        <v>25568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6">
        <v>80671</v>
      </c>
    </row>
    <row r="25" spans="1:63">
      <c r="A25" s="4">
        <v>25933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6">
        <v>82992</v>
      </c>
    </row>
    <row r="26" spans="1:63">
      <c r="A26" s="4">
        <v>26298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6">
        <v>85229</v>
      </c>
    </row>
    <row r="27" spans="1:63">
      <c r="A27" s="4">
        <v>26664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6">
        <v>87177</v>
      </c>
    </row>
    <row r="28" spans="1:63">
      <c r="A28" s="4">
        <v>27029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6">
        <v>89211</v>
      </c>
    </row>
    <row r="29" spans="1:63">
      <c r="A29" s="4">
        <v>27394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6">
        <v>90859</v>
      </c>
    </row>
    <row r="30" spans="1:63">
      <c r="A30" s="4">
        <v>27759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6">
        <v>92420</v>
      </c>
    </row>
    <row r="31" spans="1:63">
      <c r="A31" s="4">
        <v>28125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6">
        <v>93717</v>
      </c>
    </row>
    <row r="32" spans="1:63">
      <c r="A32" s="4">
        <v>28490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6">
        <v>94974</v>
      </c>
    </row>
    <row r="33" spans="1:63">
      <c r="A33" s="4">
        <v>28855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6">
        <v>96259</v>
      </c>
    </row>
    <row r="34" spans="1:63">
      <c r="A34" s="4">
        <v>29220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6">
        <v>97542</v>
      </c>
    </row>
    <row r="35" spans="1:63">
      <c r="A35" s="4">
        <v>29586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6">
        <v>98705</v>
      </c>
    </row>
    <row r="36" spans="1:63">
      <c r="A36" s="4">
        <v>29951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6">
        <v>100072</v>
      </c>
    </row>
    <row r="37" spans="1:63">
      <c r="A37" s="4">
        <v>30316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6">
        <v>100818</v>
      </c>
      <c r="BK37" s="6">
        <v>101654</v>
      </c>
    </row>
    <row r="38" spans="1:63">
      <c r="A38" s="4">
        <v>30681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6">
        <v>103008</v>
      </c>
    </row>
    <row r="39" spans="1:63">
      <c r="A39" s="4">
        <v>31047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6">
        <v>104357</v>
      </c>
    </row>
    <row r="40" spans="1:63">
      <c r="A40" s="4">
        <v>31412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6">
        <v>105851</v>
      </c>
    </row>
    <row r="41" spans="1:63">
      <c r="A41" s="4">
        <v>31777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6">
        <v>107507</v>
      </c>
    </row>
    <row r="42" spans="1:63">
      <c r="A42" s="4">
        <v>32142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6">
        <v>109300</v>
      </c>
    </row>
    <row r="43" spans="1:63">
      <c r="A43" s="4">
        <v>32508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6">
        <v>111026</v>
      </c>
    </row>
    <row r="44" spans="1:63">
      <c r="A44" s="4">
        <v>32873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6">
        <v>112704</v>
      </c>
    </row>
    <row r="45" spans="1:63">
      <c r="A45" s="4">
        <v>33238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6">
        <v>113368</v>
      </c>
      <c r="BK45" s="6">
        <v>114333</v>
      </c>
    </row>
    <row r="46" spans="1:63">
      <c r="A46" s="4">
        <v>33603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6">
        <v>115823</v>
      </c>
    </row>
    <row r="47" spans="1:63">
      <c r="A47" s="4">
        <v>33969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6">
        <v>117171</v>
      </c>
    </row>
    <row r="48" spans="1:63">
      <c r="A48" s="4">
        <v>34334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6">
        <v>118517</v>
      </c>
    </row>
    <row r="49" spans="1:63">
      <c r="A49" s="4">
        <v>34699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6">
        <v>119850</v>
      </c>
    </row>
    <row r="50" spans="1:63">
      <c r="A50" s="4">
        <v>35064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6">
        <v>121121</v>
      </c>
    </row>
    <row r="51" spans="1:63">
      <c r="A51" s="4">
        <v>35430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6">
        <v>122389</v>
      </c>
    </row>
    <row r="52" spans="1:63">
      <c r="A52" s="4">
        <v>35795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6">
        <v>123626</v>
      </c>
    </row>
    <row r="53" spans="1:63">
      <c r="A53" s="4">
        <v>36160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6">
        <v>124761</v>
      </c>
    </row>
    <row r="54" spans="1:64">
      <c r="A54" s="4">
        <v>36525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6">
        <v>125786</v>
      </c>
      <c r="BL54" s="7">
        <f t="shared" ref="BL54:BL63" si="0">BK54-BK53</f>
        <v>1025</v>
      </c>
    </row>
    <row r="55" spans="1:64">
      <c r="A55" s="4">
        <v>36891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6">
        <v>126583</v>
      </c>
      <c r="BK55" s="6">
        <v>126743</v>
      </c>
      <c r="BL55" s="7">
        <f t="shared" si="0"/>
        <v>957</v>
      </c>
    </row>
    <row r="56" spans="1:64">
      <c r="A56" s="4">
        <v>37256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6">
        <v>127627</v>
      </c>
      <c r="BL56" s="7">
        <f t="shared" si="0"/>
        <v>884</v>
      </c>
    </row>
    <row r="57" spans="1:64">
      <c r="A57" s="4">
        <v>37621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6">
        <v>128453</v>
      </c>
      <c r="BL57" s="7">
        <f t="shared" si="0"/>
        <v>826</v>
      </c>
    </row>
    <row r="58" spans="1:64">
      <c r="A58" s="4">
        <v>37986</v>
      </c>
      <c r="B58" s="6">
        <v>5.05</v>
      </c>
      <c r="C58" s="6">
        <v>6.56</v>
      </c>
      <c r="D58" s="6">
        <v>8.76</v>
      </c>
      <c r="E58" s="6">
        <v>8.37</v>
      </c>
      <c r="F58" s="6">
        <v>6.79</v>
      </c>
      <c r="G58" s="6">
        <v>7.6</v>
      </c>
      <c r="H58" s="6">
        <v>9.71</v>
      </c>
      <c r="I58" s="6">
        <v>9.61</v>
      </c>
      <c r="J58" s="6">
        <v>7.44</v>
      </c>
      <c r="K58" s="6">
        <v>7.49</v>
      </c>
      <c r="L58" s="6">
        <v>6.32</v>
      </c>
      <c r="M58" s="6">
        <v>4.43</v>
      </c>
      <c r="N58" s="6">
        <v>3.62</v>
      </c>
      <c r="O58" s="6">
        <v>3.29</v>
      </c>
      <c r="P58" s="6">
        <v>2.47</v>
      </c>
      <c r="Q58" s="6">
        <v>1.47</v>
      </c>
      <c r="R58" s="6">
        <v>0.75</v>
      </c>
      <c r="S58" s="6">
        <v>0.27</v>
      </c>
      <c r="T58" s="6">
        <v>0.08</v>
      </c>
      <c r="U58" s="6">
        <v>0.02</v>
      </c>
      <c r="V58" s="6">
        <v>2.73</v>
      </c>
      <c r="W58" s="6">
        <v>3.55</v>
      </c>
      <c r="X58" s="6">
        <v>4.61</v>
      </c>
      <c r="Y58" s="6">
        <v>4.36</v>
      </c>
      <c r="Z58" s="6">
        <v>3.41</v>
      </c>
      <c r="AA58" s="6">
        <v>3.81</v>
      </c>
      <c r="AB58" s="6">
        <v>4.9</v>
      </c>
      <c r="AC58" s="6">
        <v>4.86</v>
      </c>
      <c r="AD58" s="6">
        <v>3.81</v>
      </c>
      <c r="AE58" s="6">
        <v>3.78</v>
      </c>
      <c r="AF58" s="6">
        <v>3.19</v>
      </c>
      <c r="AG58" s="6">
        <v>2.23</v>
      </c>
      <c r="AH58" s="6">
        <v>1.83</v>
      </c>
      <c r="AI58" s="6">
        <v>1.65</v>
      </c>
      <c r="AJ58" s="6">
        <v>1.24</v>
      </c>
      <c r="AK58" s="6">
        <v>0.7</v>
      </c>
      <c r="AL58" s="6">
        <v>0.34</v>
      </c>
      <c r="AM58" s="6">
        <v>0.4</v>
      </c>
      <c r="AN58" s="6">
        <v>0.03</v>
      </c>
      <c r="AO58" s="6">
        <v>0</v>
      </c>
      <c r="AP58" s="6">
        <v>2.6</v>
      </c>
      <c r="AQ58" s="6">
        <v>3</v>
      </c>
      <c r="AR58" s="6">
        <v>4.17</v>
      </c>
      <c r="AS58" s="6">
        <v>4</v>
      </c>
      <c r="AT58" s="6">
        <v>3.39</v>
      </c>
      <c r="AU58" s="6">
        <v>3.81</v>
      </c>
      <c r="AV58" s="6">
        <v>4.83</v>
      </c>
      <c r="AW58" s="6">
        <v>4.75</v>
      </c>
      <c r="AX58" s="6">
        <v>3.9</v>
      </c>
      <c r="AY58" s="6">
        <v>3.7</v>
      </c>
      <c r="AZ58" s="6">
        <v>3.17</v>
      </c>
      <c r="BA58" s="6">
        <v>2.21</v>
      </c>
      <c r="BB58" s="6">
        <v>1.8</v>
      </c>
      <c r="BC58" s="6">
        <v>1.66</v>
      </c>
      <c r="BD58" s="6">
        <v>1.22</v>
      </c>
      <c r="BE58" s="6">
        <v>0.79</v>
      </c>
      <c r="BF58" s="6">
        <v>0.42</v>
      </c>
      <c r="BG58" s="6">
        <v>0.17</v>
      </c>
      <c r="BH58" s="6">
        <v>0.05</v>
      </c>
      <c r="BI58" s="6">
        <v>0.01</v>
      </c>
      <c r="BJ58" s="3"/>
      <c r="BK58" s="6">
        <v>129227</v>
      </c>
      <c r="BL58" s="7">
        <f t="shared" si="0"/>
        <v>774</v>
      </c>
    </row>
    <row r="59" spans="1:64">
      <c r="A59" s="4">
        <v>38352</v>
      </c>
      <c r="B59" s="6">
        <v>4.95</v>
      </c>
      <c r="C59" s="6">
        <v>6.09</v>
      </c>
      <c r="D59" s="6">
        <v>8.3</v>
      </c>
      <c r="E59" s="6">
        <v>8.72</v>
      </c>
      <c r="F59" s="6">
        <v>6.35</v>
      </c>
      <c r="G59" s="6">
        <v>7.06</v>
      </c>
      <c r="H59" s="6">
        <v>9.41</v>
      </c>
      <c r="I59" s="6">
        <v>9.78</v>
      </c>
      <c r="J59" s="6">
        <v>8.04</v>
      </c>
      <c r="K59" s="6">
        <v>7.15</v>
      </c>
      <c r="L59" s="6">
        <v>6.9</v>
      </c>
      <c r="M59" s="6">
        <v>4.95</v>
      </c>
      <c r="N59" s="6">
        <v>3.8</v>
      </c>
      <c r="O59" s="6">
        <v>3.2</v>
      </c>
      <c r="P59" s="6">
        <v>2.8</v>
      </c>
      <c r="Q59" s="6">
        <v>1.53</v>
      </c>
      <c r="R59" s="6">
        <v>0.84</v>
      </c>
      <c r="S59" s="6">
        <v>0.3</v>
      </c>
      <c r="T59" s="6">
        <v>0.09</v>
      </c>
      <c r="U59" s="6">
        <v>0.02</v>
      </c>
      <c r="V59" s="6">
        <v>2.72</v>
      </c>
      <c r="W59" s="6">
        <v>3.31</v>
      </c>
      <c r="X59" s="6">
        <v>4.38</v>
      </c>
      <c r="Y59" s="6">
        <v>4.52</v>
      </c>
      <c r="Z59" s="6">
        <v>3.13</v>
      </c>
      <c r="AA59" s="6">
        <v>3.48</v>
      </c>
      <c r="AB59" s="6">
        <v>4.72</v>
      </c>
      <c r="AC59" s="6">
        <v>4.91</v>
      </c>
      <c r="AD59" s="6">
        <v>4.03</v>
      </c>
      <c r="AE59" s="6">
        <v>3.62</v>
      </c>
      <c r="AF59" s="6">
        <v>3.8</v>
      </c>
      <c r="AG59" s="6">
        <v>2.51</v>
      </c>
      <c r="AH59" s="6">
        <v>1.97</v>
      </c>
      <c r="AI59" s="6">
        <v>1.6</v>
      </c>
      <c r="AJ59" s="6">
        <v>1.28</v>
      </c>
      <c r="AK59" s="6">
        <v>0.73</v>
      </c>
      <c r="AL59" s="6">
        <v>0.38</v>
      </c>
      <c r="AM59" s="6">
        <v>0.14</v>
      </c>
      <c r="AN59" s="6">
        <v>0.03</v>
      </c>
      <c r="AO59" s="6">
        <v>0.01</v>
      </c>
      <c r="AP59" s="6">
        <v>2.25</v>
      </c>
      <c r="AQ59" s="6">
        <v>2.8</v>
      </c>
      <c r="AR59" s="6">
        <v>4.1</v>
      </c>
      <c r="AS59" s="6">
        <v>4.2</v>
      </c>
      <c r="AT59" s="6">
        <v>3.23</v>
      </c>
      <c r="AU59" s="6">
        <v>3.59</v>
      </c>
      <c r="AV59" s="6">
        <v>4.7</v>
      </c>
      <c r="AW59" s="6">
        <v>4.87</v>
      </c>
      <c r="AX59" s="6">
        <v>4.01</v>
      </c>
      <c r="AY59" s="6">
        <v>3.53</v>
      </c>
      <c r="AZ59" s="6">
        <v>3.5</v>
      </c>
      <c r="BA59" s="6">
        <v>2.43</v>
      </c>
      <c r="BB59" s="6">
        <v>1.86</v>
      </c>
      <c r="BC59" s="6">
        <v>1.62</v>
      </c>
      <c r="BD59" s="6">
        <v>1.31</v>
      </c>
      <c r="BE59" s="6">
        <v>0.9</v>
      </c>
      <c r="BF59" s="6">
        <v>0.49</v>
      </c>
      <c r="BG59" s="6">
        <v>0.19</v>
      </c>
      <c r="BH59" s="6">
        <v>0.09</v>
      </c>
      <c r="BI59" s="6">
        <v>0.01</v>
      </c>
      <c r="BJ59" s="3"/>
      <c r="BK59" s="6">
        <v>129988</v>
      </c>
      <c r="BL59" s="7">
        <f t="shared" si="0"/>
        <v>761</v>
      </c>
    </row>
    <row r="60" spans="1:64">
      <c r="A60" s="4">
        <v>38717</v>
      </c>
      <c r="B60" s="6">
        <v>5.34</v>
      </c>
      <c r="C60" s="6">
        <v>6.24</v>
      </c>
      <c r="D60" s="6">
        <v>7.97</v>
      </c>
      <c r="E60" s="6">
        <v>8.5</v>
      </c>
      <c r="F60" s="6">
        <v>6.1</v>
      </c>
      <c r="G60" s="6">
        <v>6.54</v>
      </c>
      <c r="H60" s="6">
        <v>8.51</v>
      </c>
      <c r="I60" s="6">
        <v>9.72</v>
      </c>
      <c r="J60" s="6">
        <v>8.69</v>
      </c>
      <c r="K60" s="6">
        <v>6.76</v>
      </c>
      <c r="L60" s="6">
        <v>7.28</v>
      </c>
      <c r="M60" s="6">
        <v>5.34</v>
      </c>
      <c r="N60" s="6">
        <v>3.93</v>
      </c>
      <c r="O60" s="6">
        <v>3.32</v>
      </c>
      <c r="P60" s="6">
        <v>2.68</v>
      </c>
      <c r="Q60" s="6">
        <v>1.71</v>
      </c>
      <c r="R60" s="6">
        <v>0.92</v>
      </c>
      <c r="S60" s="6">
        <v>0.33</v>
      </c>
      <c r="T60" s="6">
        <v>0.09</v>
      </c>
      <c r="U60" s="3"/>
      <c r="V60" s="6">
        <v>2.94</v>
      </c>
      <c r="W60" s="6">
        <v>3.4</v>
      </c>
      <c r="X60" s="6">
        <v>4.25</v>
      </c>
      <c r="Y60" s="6">
        <v>4.41</v>
      </c>
      <c r="Z60" s="6">
        <v>2.94</v>
      </c>
      <c r="AA60" s="6">
        <v>3.17</v>
      </c>
      <c r="AB60" s="6">
        <v>4.19</v>
      </c>
      <c r="AC60" s="6">
        <v>4.79</v>
      </c>
      <c r="AD60" s="6">
        <v>4.31</v>
      </c>
      <c r="AE60" s="6">
        <v>3.39</v>
      </c>
      <c r="AF60" s="6">
        <v>3.67</v>
      </c>
      <c r="AG60" s="6">
        <v>2.72</v>
      </c>
      <c r="AH60" s="6">
        <v>2.02</v>
      </c>
      <c r="AI60" s="6">
        <v>1.68</v>
      </c>
      <c r="AJ60" s="6">
        <v>1.32</v>
      </c>
      <c r="AK60" s="6">
        <v>0.8</v>
      </c>
      <c r="AL60" s="6">
        <v>0.39</v>
      </c>
      <c r="AM60" s="6">
        <v>0.12</v>
      </c>
      <c r="AN60" s="6">
        <v>0.03</v>
      </c>
      <c r="AO60" s="3"/>
      <c r="AP60" s="6">
        <v>2.4</v>
      </c>
      <c r="AQ60" s="6">
        <v>2.88</v>
      </c>
      <c r="AR60" s="6">
        <v>3.72</v>
      </c>
      <c r="AS60" s="6">
        <v>4.09</v>
      </c>
      <c r="AT60" s="6">
        <v>3.16</v>
      </c>
      <c r="AU60" s="6">
        <v>3.36</v>
      </c>
      <c r="AV60" s="6">
        <v>4.33</v>
      </c>
      <c r="AW60" s="6">
        <v>4.94</v>
      </c>
      <c r="AX60" s="6">
        <v>4.37</v>
      </c>
      <c r="AY60" s="6">
        <v>3.37</v>
      </c>
      <c r="AZ60" s="6">
        <v>3.62</v>
      </c>
      <c r="BA60" s="6">
        <v>2.62</v>
      </c>
      <c r="BB60" s="6">
        <v>1.92</v>
      </c>
      <c r="BC60" s="6">
        <v>1.64</v>
      </c>
      <c r="BD60" s="6">
        <v>1.36</v>
      </c>
      <c r="BE60" s="6">
        <v>0.91</v>
      </c>
      <c r="BF60" s="6">
        <v>0.53</v>
      </c>
      <c r="BG60" s="6">
        <v>0.21</v>
      </c>
      <c r="BH60" s="6">
        <v>0.07</v>
      </c>
      <c r="BI60" s="6">
        <v>0.0148</v>
      </c>
      <c r="BJ60" s="3"/>
      <c r="BK60" s="6">
        <v>130756</v>
      </c>
      <c r="BL60" s="7">
        <f t="shared" si="0"/>
        <v>768</v>
      </c>
    </row>
    <row r="61" spans="1:64">
      <c r="A61" s="4">
        <v>39082</v>
      </c>
      <c r="B61" s="6">
        <v>5.0774</v>
      </c>
      <c r="C61" s="6">
        <v>5.9185</v>
      </c>
      <c r="D61" s="6">
        <v>7.4737</v>
      </c>
      <c r="E61" s="6">
        <v>8.8057</v>
      </c>
      <c r="F61" s="6">
        <v>6.3857</v>
      </c>
      <c r="G61" s="6">
        <v>6.2138</v>
      </c>
      <c r="H61" s="6">
        <v>7.831</v>
      </c>
      <c r="I61" s="6">
        <v>9.5544</v>
      </c>
      <c r="J61" s="6">
        <v>9.7077</v>
      </c>
      <c r="K61" s="6">
        <v>6.4139</v>
      </c>
      <c r="L61" s="6">
        <v>7.597</v>
      </c>
      <c r="M61" s="6">
        <v>5.7247</v>
      </c>
      <c r="N61" s="6">
        <v>4.0989</v>
      </c>
      <c r="O61" s="6">
        <v>3.3535</v>
      </c>
      <c r="P61" s="6">
        <v>2.7411</v>
      </c>
      <c r="Q61" s="6">
        <v>1.7299</v>
      </c>
      <c r="R61" s="6">
        <v>0.9076</v>
      </c>
      <c r="S61" s="6">
        <v>0.3473</v>
      </c>
      <c r="T61" s="3"/>
      <c r="U61" s="3"/>
      <c r="V61" s="6">
        <v>2.7771</v>
      </c>
      <c r="W61" s="6">
        <v>3.2651</v>
      </c>
      <c r="X61" s="6">
        <v>4.0294</v>
      </c>
      <c r="Y61" s="6">
        <v>4.6518</v>
      </c>
      <c r="Z61" s="6">
        <v>3.125</v>
      </c>
      <c r="AA61" s="6">
        <v>3.0074</v>
      </c>
      <c r="AB61" s="6">
        <v>3.8417</v>
      </c>
      <c r="AC61" s="6">
        <v>4.6981</v>
      </c>
      <c r="AD61" s="6">
        <v>4.8024</v>
      </c>
      <c r="AE61" s="6">
        <v>3.2069</v>
      </c>
      <c r="AF61" s="6">
        <v>3.827</v>
      </c>
      <c r="AG61" s="6">
        <v>2.8959</v>
      </c>
      <c r="AH61" s="6">
        <v>2.0917</v>
      </c>
      <c r="AI61" s="6">
        <v>1.7155</v>
      </c>
      <c r="AJ61" s="6">
        <v>1.3534</v>
      </c>
      <c r="AK61" s="6">
        <v>0.8259</v>
      </c>
      <c r="AL61" s="6">
        <v>0.386</v>
      </c>
      <c r="AM61" s="6">
        <v>0.1309</v>
      </c>
      <c r="AN61" s="3"/>
      <c r="AO61" s="3"/>
      <c r="AP61" s="6">
        <v>2.3004</v>
      </c>
      <c r="AQ61" s="6">
        <v>2.6534</v>
      </c>
      <c r="AR61" s="6">
        <v>3.4443</v>
      </c>
      <c r="AS61" s="6">
        <v>4.1539</v>
      </c>
      <c r="AT61" s="6">
        <v>3.2607</v>
      </c>
      <c r="AU61" s="6">
        <v>3.2064</v>
      </c>
      <c r="AV61" s="6">
        <v>3.9894</v>
      </c>
      <c r="AW61" s="6">
        <v>4.8563</v>
      </c>
      <c r="AX61" s="6">
        <v>4.9054</v>
      </c>
      <c r="AY61" s="6">
        <v>3.2068</v>
      </c>
      <c r="AZ61" s="6">
        <v>3.77</v>
      </c>
      <c r="BA61" s="6">
        <v>2.8287</v>
      </c>
      <c r="BB61" s="6">
        <v>2.0072</v>
      </c>
      <c r="BC61" s="6">
        <v>1.638</v>
      </c>
      <c r="BD61" s="6">
        <v>1.3876</v>
      </c>
      <c r="BE61" s="6">
        <v>0.9039</v>
      </c>
      <c r="BF61" s="6">
        <v>0.5216</v>
      </c>
      <c r="BG61" s="6">
        <v>0.2164</v>
      </c>
      <c r="BH61" s="3"/>
      <c r="BI61" s="3"/>
      <c r="BJ61" s="3"/>
      <c r="BK61" s="6">
        <v>131448</v>
      </c>
      <c r="BL61" s="7">
        <f t="shared" si="0"/>
        <v>692</v>
      </c>
    </row>
    <row r="62" spans="1:64">
      <c r="A62" s="4">
        <v>39447</v>
      </c>
      <c r="B62" s="6">
        <v>5.05</v>
      </c>
      <c r="C62" s="6">
        <v>5.74</v>
      </c>
      <c r="D62" s="6">
        <v>7.09</v>
      </c>
      <c r="E62" s="6">
        <v>8.32</v>
      </c>
      <c r="F62" s="6">
        <v>6.61</v>
      </c>
      <c r="G62" s="6">
        <v>6.46</v>
      </c>
      <c r="H62" s="6">
        <v>7.3</v>
      </c>
      <c r="I62" s="6">
        <v>9.71</v>
      </c>
      <c r="J62" s="6">
        <v>9.75</v>
      </c>
      <c r="K62" s="6">
        <v>6.4</v>
      </c>
      <c r="L62" s="6">
        <v>7.78</v>
      </c>
      <c r="M62" s="6">
        <v>6.16</v>
      </c>
      <c r="N62" s="6">
        <v>4.29</v>
      </c>
      <c r="O62" s="6">
        <v>3.35</v>
      </c>
      <c r="P62" s="6">
        <v>2.8</v>
      </c>
      <c r="Q62" s="6">
        <v>1.77</v>
      </c>
      <c r="R62" s="6">
        <v>0.95</v>
      </c>
      <c r="S62" s="6">
        <v>0.37</v>
      </c>
      <c r="T62" s="6">
        <v>0.09</v>
      </c>
      <c r="U62" s="6">
        <v>0.02</v>
      </c>
      <c r="V62" s="6">
        <v>2.79</v>
      </c>
      <c r="W62" s="6">
        <v>3.14</v>
      </c>
      <c r="X62" s="6">
        <v>3.81</v>
      </c>
      <c r="Y62" s="6">
        <v>4.41</v>
      </c>
      <c r="Z62" s="6">
        <v>3.24</v>
      </c>
      <c r="AA62" s="6">
        <v>3.13</v>
      </c>
      <c r="AB62" s="6">
        <v>3.59</v>
      </c>
      <c r="AC62" s="6">
        <v>4.81</v>
      </c>
      <c r="AD62" s="6">
        <v>4.85</v>
      </c>
      <c r="AE62" s="6">
        <v>3.19</v>
      </c>
      <c r="AF62" s="6">
        <v>3.92</v>
      </c>
      <c r="AG62" s="6">
        <v>3.11</v>
      </c>
      <c r="AH62" s="6">
        <v>2.18</v>
      </c>
      <c r="AI62" s="6">
        <v>1.71</v>
      </c>
      <c r="AJ62" s="6">
        <v>1.38</v>
      </c>
      <c r="AK62" s="6">
        <v>0.85</v>
      </c>
      <c r="AL62" s="6">
        <v>0.42</v>
      </c>
      <c r="AM62" s="6">
        <v>0.15</v>
      </c>
      <c r="AN62" s="6">
        <v>0.03</v>
      </c>
      <c r="AO62" s="6">
        <v>0.01</v>
      </c>
      <c r="AP62" s="6">
        <v>2.26</v>
      </c>
      <c r="AQ62" s="6">
        <v>2.6</v>
      </c>
      <c r="AR62" s="6">
        <v>3.28</v>
      </c>
      <c r="AS62" s="6">
        <v>3.91</v>
      </c>
      <c r="AT62" s="6">
        <v>3.37</v>
      </c>
      <c r="AU62" s="6">
        <v>3.32</v>
      </c>
      <c r="AV62" s="6">
        <v>3.71</v>
      </c>
      <c r="AW62" s="6">
        <v>4.9</v>
      </c>
      <c r="AX62" s="6">
        <v>4.9</v>
      </c>
      <c r="AY62" s="6">
        <v>3.21</v>
      </c>
      <c r="AZ62" s="6">
        <v>3.86</v>
      </c>
      <c r="BA62" s="6">
        <v>3.05</v>
      </c>
      <c r="BB62" s="6">
        <v>2.11</v>
      </c>
      <c r="BC62" s="6">
        <v>1.64</v>
      </c>
      <c r="BD62" s="6">
        <v>1.42</v>
      </c>
      <c r="BE62" s="6">
        <v>0.92</v>
      </c>
      <c r="BF62" s="6">
        <v>0.53</v>
      </c>
      <c r="BG62" s="6">
        <v>0.23</v>
      </c>
      <c r="BH62" s="6">
        <v>0.07</v>
      </c>
      <c r="BI62" s="6">
        <v>0.02</v>
      </c>
      <c r="BJ62" s="3"/>
      <c r="BK62" s="6">
        <v>132129</v>
      </c>
      <c r="BL62" s="7">
        <f t="shared" si="0"/>
        <v>681</v>
      </c>
    </row>
    <row r="63" spans="1:64">
      <c r="A63" s="4">
        <v>39813</v>
      </c>
      <c r="B63" s="6">
        <v>5.13</v>
      </c>
      <c r="C63" s="6">
        <v>5.46</v>
      </c>
      <c r="D63" s="6">
        <v>6.73</v>
      </c>
      <c r="E63" s="6">
        <v>7.87</v>
      </c>
      <c r="F63" s="6">
        <v>6.86</v>
      </c>
      <c r="G63" s="6">
        <v>6.48</v>
      </c>
      <c r="H63" s="6">
        <v>6.96</v>
      </c>
      <c r="I63" s="6">
        <v>9.27</v>
      </c>
      <c r="J63" s="6">
        <v>9.65</v>
      </c>
      <c r="K63" s="6">
        <v>7.19</v>
      </c>
      <c r="L63" s="6">
        <v>7.8</v>
      </c>
      <c r="M63" s="6">
        <v>6.58</v>
      </c>
      <c r="N63" s="6">
        <v>4.47</v>
      </c>
      <c r="O63" s="6">
        <v>3.32</v>
      </c>
      <c r="P63" s="6">
        <v>2.83</v>
      </c>
      <c r="Q63" s="6">
        <v>1.87</v>
      </c>
      <c r="R63" s="6">
        <v>0.99</v>
      </c>
      <c r="S63" s="6">
        <v>0.41</v>
      </c>
      <c r="T63" s="6">
        <v>0.1</v>
      </c>
      <c r="U63" s="6">
        <v>0.02</v>
      </c>
      <c r="V63" s="6">
        <v>2.83</v>
      </c>
      <c r="W63" s="6">
        <v>3</v>
      </c>
      <c r="X63" s="6">
        <v>3.61</v>
      </c>
      <c r="Y63" s="6">
        <v>4.19</v>
      </c>
      <c r="Z63" s="6">
        <v>3.39</v>
      </c>
      <c r="AA63" s="6">
        <v>3.18</v>
      </c>
      <c r="AB63" s="6">
        <v>3.45</v>
      </c>
      <c r="AC63" s="6">
        <v>4.58</v>
      </c>
      <c r="AD63" s="6">
        <v>4.81</v>
      </c>
      <c r="AE63" s="6">
        <v>3.57</v>
      </c>
      <c r="AF63" s="6">
        <v>3.93</v>
      </c>
      <c r="AG63" s="6">
        <v>3.33</v>
      </c>
      <c r="AH63" s="6">
        <v>2.27</v>
      </c>
      <c r="AI63" s="6">
        <v>1.68</v>
      </c>
      <c r="AJ63" s="6">
        <v>1.4</v>
      </c>
      <c r="AK63" s="6">
        <v>0.89</v>
      </c>
      <c r="AL63" s="6">
        <v>0.44</v>
      </c>
      <c r="AM63" s="6">
        <v>0.16</v>
      </c>
      <c r="AN63" s="6">
        <v>0.03</v>
      </c>
      <c r="AO63" s="6">
        <v>0.01</v>
      </c>
      <c r="AP63" s="6">
        <v>2.3</v>
      </c>
      <c r="AQ63" s="6">
        <v>2.47</v>
      </c>
      <c r="AR63" s="6">
        <v>3.12</v>
      </c>
      <c r="AS63" s="6">
        <v>3.68</v>
      </c>
      <c r="AT63" s="6">
        <v>3.47</v>
      </c>
      <c r="AU63" s="6">
        <v>3.3</v>
      </c>
      <c r="AV63" s="6">
        <v>3.51</v>
      </c>
      <c r="AW63" s="6">
        <v>4.69</v>
      </c>
      <c r="AX63" s="6">
        <v>4.84</v>
      </c>
      <c r="AY63" s="6">
        <v>3.62</v>
      </c>
      <c r="AZ63" s="6">
        <v>3.87</v>
      </c>
      <c r="BA63" s="6">
        <v>3.25</v>
      </c>
      <c r="BB63" s="6">
        <v>2.2</v>
      </c>
      <c r="BC63" s="6">
        <v>1.64</v>
      </c>
      <c r="BD63" s="6">
        <v>1.42</v>
      </c>
      <c r="BE63" s="6">
        <v>0.97</v>
      </c>
      <c r="BF63" s="6">
        <v>0.55</v>
      </c>
      <c r="BG63" s="6">
        <v>0.25</v>
      </c>
      <c r="BH63" s="6">
        <v>0.07</v>
      </c>
      <c r="BI63" s="6">
        <v>0.02</v>
      </c>
      <c r="BJ63" s="3"/>
      <c r="BK63" s="6">
        <v>132802</v>
      </c>
      <c r="BL63" s="7">
        <f t="shared" si="0"/>
        <v>673</v>
      </c>
    </row>
    <row r="64" spans="1:64">
      <c r="A64" s="4">
        <v>40178</v>
      </c>
      <c r="B64" s="6">
        <v>5.16</v>
      </c>
      <c r="C64" s="6">
        <v>5.41</v>
      </c>
      <c r="D64" s="6">
        <v>6.3</v>
      </c>
      <c r="E64" s="6">
        <v>7.17</v>
      </c>
      <c r="F64" s="6">
        <v>7.52</v>
      </c>
      <c r="G64" s="6">
        <v>6.48</v>
      </c>
      <c r="H64" s="6">
        <v>6.76</v>
      </c>
      <c r="I64" s="6">
        <v>9.1</v>
      </c>
      <c r="J64" s="6">
        <v>9.64</v>
      </c>
      <c r="K64" s="6">
        <v>7.93</v>
      </c>
      <c r="L64" s="6">
        <v>7.24</v>
      </c>
      <c r="M64" s="6">
        <v>6.79</v>
      </c>
      <c r="N64" s="6">
        <v>4.78</v>
      </c>
      <c r="O64" s="6">
        <v>3.44</v>
      </c>
      <c r="P64" s="6">
        <v>2.79</v>
      </c>
      <c r="Q64" s="6">
        <v>1.93</v>
      </c>
      <c r="R64" s="6">
        <v>1.01</v>
      </c>
      <c r="S64" s="6">
        <v>0.41</v>
      </c>
      <c r="T64" s="6">
        <v>0.1</v>
      </c>
      <c r="U64" s="6">
        <v>0.03</v>
      </c>
      <c r="V64" s="6">
        <v>2.84</v>
      </c>
      <c r="W64" s="6">
        <v>2.98</v>
      </c>
      <c r="X64" s="6">
        <v>3.41</v>
      </c>
      <c r="Y64" s="6">
        <v>3.79</v>
      </c>
      <c r="Z64" s="6">
        <v>3.78</v>
      </c>
      <c r="AA64" s="6">
        <v>3.23</v>
      </c>
      <c r="AB64" s="6">
        <v>3.33</v>
      </c>
      <c r="AC64" s="6">
        <v>4.51</v>
      </c>
      <c r="AD64" s="6">
        <v>4.8</v>
      </c>
      <c r="AE64" s="6">
        <v>3.92</v>
      </c>
      <c r="AF64" s="6">
        <v>3.64</v>
      </c>
      <c r="AG64" s="6">
        <v>3.4</v>
      </c>
      <c r="AH64" s="6">
        <v>2.43</v>
      </c>
      <c r="AI64" s="6">
        <v>1.74</v>
      </c>
      <c r="AJ64" s="6">
        <v>1.4</v>
      </c>
      <c r="AK64" s="6">
        <v>0.94</v>
      </c>
      <c r="AL64" s="6">
        <v>0.44</v>
      </c>
      <c r="AM64" s="6">
        <v>0.17</v>
      </c>
      <c r="AN64" s="6">
        <v>0.03</v>
      </c>
      <c r="AO64" s="6">
        <v>0.01</v>
      </c>
      <c r="AP64" s="6">
        <v>2.32</v>
      </c>
      <c r="AQ64" s="6">
        <v>2.43</v>
      </c>
      <c r="AR64" s="6">
        <v>2.88</v>
      </c>
      <c r="AS64" s="6">
        <v>3.38</v>
      </c>
      <c r="AT64" s="6">
        <v>3.75</v>
      </c>
      <c r="AU64" s="6">
        <v>3.24</v>
      </c>
      <c r="AV64" s="6">
        <v>3.43</v>
      </c>
      <c r="AW64" s="6">
        <v>4.59</v>
      </c>
      <c r="AX64" s="6">
        <v>4.85</v>
      </c>
      <c r="AY64" s="6">
        <v>4.01</v>
      </c>
      <c r="AZ64" s="6">
        <v>3.6</v>
      </c>
      <c r="BA64" s="6">
        <v>3.39</v>
      </c>
      <c r="BB64" s="6">
        <v>2.35</v>
      </c>
      <c r="BC64" s="6">
        <v>1.7</v>
      </c>
      <c r="BD64" s="6">
        <v>1.39</v>
      </c>
      <c r="BE64" s="6">
        <v>0.99</v>
      </c>
      <c r="BF64" s="6">
        <v>0.57</v>
      </c>
      <c r="BG64" s="6">
        <v>0.24</v>
      </c>
      <c r="BH64" s="6">
        <v>0.07</v>
      </c>
      <c r="BI64" s="6">
        <v>0.02</v>
      </c>
      <c r="BJ64" s="3"/>
      <c r="BK64" s="6">
        <v>133450</v>
      </c>
      <c r="BL64" s="7">
        <f t="shared" ref="BL64:BL74" si="1">BK64-BK63</f>
        <v>648</v>
      </c>
    </row>
    <row r="65" spans="1:64">
      <c r="A65" s="4">
        <v>40543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6">
        <v>133972</v>
      </c>
      <c r="BK65" s="6">
        <v>134091</v>
      </c>
      <c r="BL65" s="7">
        <f t="shared" si="1"/>
        <v>641</v>
      </c>
    </row>
    <row r="66" spans="1:64">
      <c r="A66" s="4">
        <v>40908</v>
      </c>
      <c r="B66" s="6">
        <v>5.66</v>
      </c>
      <c r="C66" s="6">
        <v>5.35</v>
      </c>
      <c r="D66" s="6">
        <v>5.46</v>
      </c>
      <c r="E66" s="6">
        <v>7.02</v>
      </c>
      <c r="F66" s="6">
        <v>9.48</v>
      </c>
      <c r="G66" s="6">
        <v>7.79</v>
      </c>
      <c r="H66" s="6">
        <v>7.17</v>
      </c>
      <c r="I66" s="6">
        <v>8.46</v>
      </c>
      <c r="J66" s="6">
        <v>9.38</v>
      </c>
      <c r="K66" s="6">
        <v>8.81</v>
      </c>
      <c r="L66" s="6">
        <v>5.43</v>
      </c>
      <c r="M66" s="6">
        <v>6.26</v>
      </c>
      <c r="N66" s="6">
        <v>4.6</v>
      </c>
      <c r="O66" s="6">
        <v>3.15</v>
      </c>
      <c r="P66" s="6">
        <v>2.52</v>
      </c>
      <c r="Q66" s="6">
        <v>1.85</v>
      </c>
      <c r="R66" s="6">
        <v>1.04</v>
      </c>
      <c r="S66" s="6">
        <v>0.42</v>
      </c>
      <c r="T66" s="6">
        <v>0.13</v>
      </c>
      <c r="U66" s="6">
        <v>0.03</v>
      </c>
      <c r="V66" s="6">
        <v>3.08</v>
      </c>
      <c r="W66" s="6">
        <v>2.9</v>
      </c>
      <c r="X66" s="6">
        <v>2.94</v>
      </c>
      <c r="Y66" s="6">
        <v>3.67</v>
      </c>
      <c r="Z66" s="6">
        <v>4.82</v>
      </c>
      <c r="AA66" s="6">
        <v>3.93</v>
      </c>
      <c r="AB66" s="6">
        <v>3.66</v>
      </c>
      <c r="AC66" s="6">
        <v>4.33</v>
      </c>
      <c r="AD66" s="6">
        <v>4.79</v>
      </c>
      <c r="AE66" s="6">
        <v>4.49</v>
      </c>
      <c r="AF66" s="6">
        <v>2.78</v>
      </c>
      <c r="AG66" s="6">
        <v>3.16</v>
      </c>
      <c r="AH66" s="6">
        <v>2.33</v>
      </c>
      <c r="AI66" s="6">
        <v>1.58</v>
      </c>
      <c r="AJ66" s="6">
        <v>1.26</v>
      </c>
      <c r="AK66" s="6">
        <v>0.87</v>
      </c>
      <c r="AL66" s="6">
        <v>0.46</v>
      </c>
      <c r="AM66" s="6">
        <v>0.16</v>
      </c>
      <c r="AN66" s="6">
        <v>0.04</v>
      </c>
      <c r="AO66" s="6">
        <v>0.01</v>
      </c>
      <c r="AP66" s="6">
        <v>2.58</v>
      </c>
      <c r="AQ66" s="6">
        <v>2.45</v>
      </c>
      <c r="AR66" s="6">
        <v>2.51</v>
      </c>
      <c r="AS66" s="6">
        <v>3.35</v>
      </c>
      <c r="AT66" s="6">
        <v>4.66</v>
      </c>
      <c r="AU66" s="6">
        <v>3.87</v>
      </c>
      <c r="AV66" s="6">
        <v>3.51</v>
      </c>
      <c r="AW66" s="6">
        <v>4.13</v>
      </c>
      <c r="AX66" s="6">
        <v>4.59</v>
      </c>
      <c r="AY66" s="6">
        <v>4.32</v>
      </c>
      <c r="AZ66" s="6">
        <v>2.65</v>
      </c>
      <c r="BA66" s="6">
        <v>3.1</v>
      </c>
      <c r="BB66" s="6">
        <v>2.27</v>
      </c>
      <c r="BC66" s="6">
        <v>1.57</v>
      </c>
      <c r="BD66" s="6">
        <v>1.26</v>
      </c>
      <c r="BE66" s="6">
        <v>0.98</v>
      </c>
      <c r="BF66" s="6">
        <v>0.58</v>
      </c>
      <c r="BG66" s="6">
        <v>0.26</v>
      </c>
      <c r="BH66" s="6">
        <v>0.09</v>
      </c>
      <c r="BI66" s="6">
        <v>0.02</v>
      </c>
      <c r="BJ66" s="3"/>
      <c r="BK66" s="6">
        <v>134735</v>
      </c>
      <c r="BL66" s="7">
        <f t="shared" si="1"/>
        <v>644</v>
      </c>
    </row>
    <row r="67" spans="1:64">
      <c r="A67" s="4">
        <v>41274</v>
      </c>
      <c r="B67" s="6">
        <v>5.69</v>
      </c>
      <c r="C67" s="6">
        <v>5.45</v>
      </c>
      <c r="D67" s="6">
        <v>5.32</v>
      </c>
      <c r="E67" s="6">
        <v>6.57</v>
      </c>
      <c r="F67" s="6">
        <v>9.05</v>
      </c>
      <c r="G67" s="6">
        <v>8</v>
      </c>
      <c r="H67" s="6">
        <v>7.43</v>
      </c>
      <c r="I67" s="6">
        <v>7.92</v>
      </c>
      <c r="J67" s="6">
        <v>9.56</v>
      </c>
      <c r="K67" s="6">
        <v>8.83</v>
      </c>
      <c r="L67" s="6">
        <v>5.51</v>
      </c>
      <c r="M67" s="6">
        <v>6.35</v>
      </c>
      <c r="N67" s="6">
        <v>4.93</v>
      </c>
      <c r="O67" s="6">
        <v>3.34</v>
      </c>
      <c r="P67" s="6">
        <v>2.51</v>
      </c>
      <c r="Q67" s="6">
        <v>1.89</v>
      </c>
      <c r="R67" s="6">
        <v>1.08</v>
      </c>
      <c r="S67" s="6">
        <v>0.42</v>
      </c>
      <c r="T67" s="6">
        <v>0.13</v>
      </c>
      <c r="U67" s="6">
        <v>0.03</v>
      </c>
      <c r="V67" s="6">
        <v>3.08</v>
      </c>
      <c r="W67" s="6">
        <v>2.96</v>
      </c>
      <c r="X67" s="6">
        <v>2.88</v>
      </c>
      <c r="Y67" s="6">
        <v>3.46</v>
      </c>
      <c r="Z67" s="6">
        <v>4.63</v>
      </c>
      <c r="AA67" s="6">
        <v>4.02</v>
      </c>
      <c r="AB67" s="6">
        <v>3.78</v>
      </c>
      <c r="AC67" s="6">
        <v>4.05</v>
      </c>
      <c r="AD67" s="6">
        <v>4.88</v>
      </c>
      <c r="AE67" s="6">
        <v>4.5</v>
      </c>
      <c r="AF67" s="6">
        <v>2.81</v>
      </c>
      <c r="AG67" s="6">
        <v>3.21</v>
      </c>
      <c r="AH67" s="6">
        <v>2.48</v>
      </c>
      <c r="AI67" s="6">
        <v>1.67</v>
      </c>
      <c r="AJ67" s="6">
        <v>1.24</v>
      </c>
      <c r="AK67" s="6">
        <v>0.9</v>
      </c>
      <c r="AL67" s="6">
        <v>0.48</v>
      </c>
      <c r="AM67" s="6">
        <v>0.17</v>
      </c>
      <c r="AN67" s="6">
        <v>0.04</v>
      </c>
      <c r="AO67" s="6">
        <v>0.01</v>
      </c>
      <c r="AP67" s="6">
        <v>2.6</v>
      </c>
      <c r="AQ67" s="6">
        <v>2.49</v>
      </c>
      <c r="AR67" s="6">
        <v>2.44</v>
      </c>
      <c r="AS67" s="6">
        <v>3.11</v>
      </c>
      <c r="AT67" s="6">
        <v>4.42</v>
      </c>
      <c r="AU67" s="6">
        <v>3.97</v>
      </c>
      <c r="AV67" s="6">
        <v>3.65</v>
      </c>
      <c r="AW67" s="6">
        <v>3.87</v>
      </c>
      <c r="AX67" s="6">
        <v>4.68</v>
      </c>
      <c r="AY67" s="6">
        <v>4.33</v>
      </c>
      <c r="AZ67" s="6">
        <v>2.7</v>
      </c>
      <c r="BA67" s="6">
        <v>3.14</v>
      </c>
      <c r="BB67" s="6">
        <v>2.45</v>
      </c>
      <c r="BC67" s="6">
        <v>1.68</v>
      </c>
      <c r="BD67" s="6">
        <v>1.27</v>
      </c>
      <c r="BE67" s="6">
        <v>0.99</v>
      </c>
      <c r="BF67" s="6">
        <v>0.6</v>
      </c>
      <c r="BG67" s="6">
        <v>0.26</v>
      </c>
      <c r="BH67" s="6">
        <v>0.08</v>
      </c>
      <c r="BI67" s="6">
        <v>0.02</v>
      </c>
      <c r="BJ67" s="3"/>
      <c r="BK67" s="6">
        <v>135404</v>
      </c>
      <c r="BL67" s="7">
        <f t="shared" si="1"/>
        <v>669</v>
      </c>
    </row>
    <row r="68" spans="1:64">
      <c r="A68" s="4">
        <v>41639</v>
      </c>
      <c r="B68" s="6">
        <v>5.68</v>
      </c>
      <c r="C68" s="6">
        <v>5.58</v>
      </c>
      <c r="D68" s="6">
        <v>5.15</v>
      </c>
      <c r="E68" s="6">
        <v>6.14</v>
      </c>
      <c r="F68" s="6">
        <v>8.71</v>
      </c>
      <c r="G68" s="6">
        <v>8.33</v>
      </c>
      <c r="H68" s="6">
        <v>7.39</v>
      </c>
      <c r="I68" s="6">
        <v>7.54</v>
      </c>
      <c r="J68" s="6">
        <v>9.28</v>
      </c>
      <c r="K68" s="6">
        <v>8.77</v>
      </c>
      <c r="L68" s="6">
        <v>6.22</v>
      </c>
      <c r="M68" s="6">
        <v>6.32</v>
      </c>
      <c r="N68" s="6">
        <v>5.21</v>
      </c>
      <c r="O68" s="6">
        <v>3.51</v>
      </c>
      <c r="P68" s="6">
        <v>2.49</v>
      </c>
      <c r="Q68" s="6">
        <v>1.9</v>
      </c>
      <c r="R68" s="6">
        <v>1.14</v>
      </c>
      <c r="S68" s="6">
        <v>0.47</v>
      </c>
      <c r="T68" s="6">
        <v>0.14</v>
      </c>
      <c r="U68" s="6">
        <v>0.03</v>
      </c>
      <c r="V68" s="6">
        <v>3.06</v>
      </c>
      <c r="W68" s="6">
        <v>3.03</v>
      </c>
      <c r="X68" s="6">
        <v>2.78</v>
      </c>
      <c r="Y68" s="6">
        <v>3.23</v>
      </c>
      <c r="Z68" s="6">
        <v>4.56</v>
      </c>
      <c r="AA68" s="6">
        <v>4.17</v>
      </c>
      <c r="AB68" s="6">
        <v>3.75</v>
      </c>
      <c r="AC68" s="6">
        <v>3.85</v>
      </c>
      <c r="AD68" s="6">
        <v>4.74</v>
      </c>
      <c r="AE68" s="6">
        <v>4.46</v>
      </c>
      <c r="AF68" s="6">
        <v>3.16</v>
      </c>
      <c r="AG68" s="6">
        <v>3.21</v>
      </c>
      <c r="AH68" s="6">
        <v>2.61</v>
      </c>
      <c r="AI68" s="6">
        <v>1.75</v>
      </c>
      <c r="AJ68" s="6">
        <v>1.23</v>
      </c>
      <c r="AK68" s="6">
        <v>0.9</v>
      </c>
      <c r="AL68" s="6">
        <v>0.51</v>
      </c>
      <c r="AM68" s="6">
        <v>0.19</v>
      </c>
      <c r="AN68" s="6">
        <v>0.05</v>
      </c>
      <c r="AO68" s="6">
        <v>0.01</v>
      </c>
      <c r="AP68" s="6">
        <v>2.61</v>
      </c>
      <c r="AQ68" s="6">
        <v>2.55</v>
      </c>
      <c r="AR68" s="6">
        <v>2.36</v>
      </c>
      <c r="AS68" s="6">
        <v>2.91</v>
      </c>
      <c r="AT68" s="6">
        <v>4.15</v>
      </c>
      <c r="AU68" s="6">
        <v>4.15</v>
      </c>
      <c r="AV68" s="6">
        <v>3.64</v>
      </c>
      <c r="AW68" s="6">
        <v>3.69</v>
      </c>
      <c r="AX68" s="6">
        <v>4.54</v>
      </c>
      <c r="AY68" s="6">
        <v>4.31</v>
      </c>
      <c r="AZ68" s="6">
        <v>3.06</v>
      </c>
      <c r="BA68" s="6">
        <v>3.11</v>
      </c>
      <c r="BB68" s="6">
        <v>2.6</v>
      </c>
      <c r="BC68" s="6">
        <v>1.76</v>
      </c>
      <c r="BD68" s="6">
        <v>1.27</v>
      </c>
      <c r="BE68" s="6">
        <v>1</v>
      </c>
      <c r="BF68" s="6">
        <v>0.63</v>
      </c>
      <c r="BG68" s="6">
        <v>0.28</v>
      </c>
      <c r="BH68" s="6">
        <v>0.09</v>
      </c>
      <c r="BI68" s="6">
        <v>0.02</v>
      </c>
      <c r="BJ68" s="3"/>
      <c r="BK68" s="6">
        <v>136072</v>
      </c>
      <c r="BL68" s="7">
        <f t="shared" si="1"/>
        <v>668</v>
      </c>
    </row>
    <row r="69" spans="1:64">
      <c r="A69" s="4">
        <v>42004</v>
      </c>
      <c r="B69" s="6">
        <v>5.69</v>
      </c>
      <c r="C69" s="6">
        <v>5.61</v>
      </c>
      <c r="D69" s="6">
        <v>5.18</v>
      </c>
      <c r="E69" s="6">
        <v>5.76</v>
      </c>
      <c r="F69" s="6">
        <v>8.07</v>
      </c>
      <c r="G69" s="6">
        <v>8.79</v>
      </c>
      <c r="H69" s="6">
        <v>7.34</v>
      </c>
      <c r="I69" s="6">
        <v>7.27</v>
      </c>
      <c r="J69" s="6">
        <v>9.07</v>
      </c>
      <c r="K69" s="6">
        <v>8.83</v>
      </c>
      <c r="L69" s="6">
        <v>6.93</v>
      </c>
      <c r="M69" s="6">
        <v>5.91</v>
      </c>
      <c r="N69" s="6">
        <v>5.48</v>
      </c>
      <c r="O69" s="6">
        <v>3.71</v>
      </c>
      <c r="P69" s="6">
        <v>2.59</v>
      </c>
      <c r="Q69" s="6">
        <v>1.9</v>
      </c>
      <c r="R69" s="6">
        <v>1.18</v>
      </c>
      <c r="S69" s="6">
        <v>0.5</v>
      </c>
      <c r="T69" s="6">
        <v>0.16</v>
      </c>
      <c r="U69" s="6">
        <v>0.03</v>
      </c>
      <c r="V69" s="6">
        <v>3.07</v>
      </c>
      <c r="W69" s="6">
        <v>3.05</v>
      </c>
      <c r="X69" s="6">
        <v>2.81</v>
      </c>
      <c r="Y69" s="6">
        <v>3.08</v>
      </c>
      <c r="Z69" s="6">
        <v>4.17</v>
      </c>
      <c r="AA69" s="6">
        <v>4.43</v>
      </c>
      <c r="AB69" s="6">
        <v>3.72</v>
      </c>
      <c r="AC69" s="6">
        <v>3.71</v>
      </c>
      <c r="AD69" s="6">
        <v>4.63</v>
      </c>
      <c r="AE69" s="6">
        <v>4.49</v>
      </c>
      <c r="AF69" s="6">
        <v>3.51</v>
      </c>
      <c r="AG69" s="6">
        <v>3</v>
      </c>
      <c r="AH69" s="6">
        <v>2.74</v>
      </c>
      <c r="AI69" s="6">
        <v>1.83</v>
      </c>
      <c r="AJ69" s="6">
        <v>1.29</v>
      </c>
      <c r="AK69" s="6">
        <v>0.91</v>
      </c>
      <c r="AL69" s="6">
        <v>0.53</v>
      </c>
      <c r="AM69" s="6">
        <v>0.2</v>
      </c>
      <c r="AN69" s="6">
        <v>0.05</v>
      </c>
      <c r="AO69" s="6">
        <v>0.01</v>
      </c>
      <c r="AP69" s="6">
        <v>2.62</v>
      </c>
      <c r="AQ69" s="6">
        <v>2.56</v>
      </c>
      <c r="AR69" s="6">
        <v>2.37</v>
      </c>
      <c r="AS69" s="6">
        <v>2.68</v>
      </c>
      <c r="AT69" s="6">
        <v>3.9</v>
      </c>
      <c r="AU69" s="6">
        <v>4.36</v>
      </c>
      <c r="AV69" s="6">
        <v>3.63</v>
      </c>
      <c r="AW69" s="6">
        <v>3.56</v>
      </c>
      <c r="AX69" s="6">
        <v>4.44</v>
      </c>
      <c r="AY69" s="6">
        <v>4.34</v>
      </c>
      <c r="AZ69" s="6">
        <v>3.42</v>
      </c>
      <c r="BA69" s="6">
        <v>2.9</v>
      </c>
      <c r="BB69" s="6">
        <v>2.74</v>
      </c>
      <c r="BC69" s="6">
        <v>1.88</v>
      </c>
      <c r="BD69" s="6">
        <v>1.3</v>
      </c>
      <c r="BE69" s="6">
        <v>0.99</v>
      </c>
      <c r="BF69" s="6">
        <v>0.65</v>
      </c>
      <c r="BG69" s="6">
        <v>0.3</v>
      </c>
      <c r="BH69" s="6">
        <v>0.1</v>
      </c>
      <c r="BI69" s="6">
        <v>0.02</v>
      </c>
      <c r="BJ69" s="3"/>
      <c r="BK69" s="6">
        <v>136782</v>
      </c>
      <c r="BL69" s="7">
        <f t="shared" si="1"/>
        <v>710</v>
      </c>
    </row>
    <row r="70" spans="1:64">
      <c r="A70" s="4">
        <v>42369</v>
      </c>
      <c r="B70" s="6">
        <v>5.83</v>
      </c>
      <c r="C70" s="6">
        <v>5.51</v>
      </c>
      <c r="D70" s="6">
        <v>5.18</v>
      </c>
      <c r="E70" s="6">
        <v>5.47</v>
      </c>
      <c r="F70" s="6">
        <v>7.3</v>
      </c>
      <c r="G70" s="6">
        <v>9.35</v>
      </c>
      <c r="H70" s="6">
        <v>7.38</v>
      </c>
      <c r="I70" s="6">
        <v>7.07</v>
      </c>
      <c r="J70" s="6">
        <v>8.56</v>
      </c>
      <c r="K70" s="6">
        <v>9.01</v>
      </c>
      <c r="L70" s="6">
        <v>7.58</v>
      </c>
      <c r="M70" s="6">
        <v>5.6</v>
      </c>
      <c r="N70" s="6">
        <v>5.68</v>
      </c>
      <c r="O70" s="6">
        <v>3.99</v>
      </c>
      <c r="P70" s="6">
        <v>2.64</v>
      </c>
      <c r="Q70" s="6">
        <v>1.93</v>
      </c>
      <c r="R70" s="6">
        <v>1.19</v>
      </c>
      <c r="S70" s="6">
        <v>0.52</v>
      </c>
      <c r="T70" s="6">
        <v>0.16</v>
      </c>
      <c r="U70" s="6">
        <v>0.0323</v>
      </c>
      <c r="V70" s="6">
        <v>3.14</v>
      </c>
      <c r="W70" s="6">
        <v>3</v>
      </c>
      <c r="X70" s="6">
        <v>2.81</v>
      </c>
      <c r="Y70" s="6">
        <v>2.94</v>
      </c>
      <c r="Z70" s="6">
        <v>3.8</v>
      </c>
      <c r="AA70" s="6">
        <v>4.73</v>
      </c>
      <c r="AB70" s="6">
        <v>3.73</v>
      </c>
      <c r="AC70" s="6">
        <v>3.61</v>
      </c>
      <c r="AD70" s="6">
        <v>4.37</v>
      </c>
      <c r="AE70" s="6">
        <v>4.58</v>
      </c>
      <c r="AF70" s="6">
        <v>3.84</v>
      </c>
      <c r="AG70" s="6">
        <v>2.85</v>
      </c>
      <c r="AH70" s="6">
        <v>2.84</v>
      </c>
      <c r="AI70" s="6">
        <v>1.99</v>
      </c>
      <c r="AJ70" s="6">
        <v>1.3</v>
      </c>
      <c r="AK70" s="6">
        <v>0.92</v>
      </c>
      <c r="AL70" s="6">
        <v>0.52</v>
      </c>
      <c r="AM70" s="6">
        <v>0.21</v>
      </c>
      <c r="AN70" s="6">
        <v>0.06</v>
      </c>
      <c r="AO70" s="6">
        <v>0.0091</v>
      </c>
      <c r="AP70" s="6">
        <v>2.7</v>
      </c>
      <c r="AQ70" s="6">
        <v>2.52</v>
      </c>
      <c r="AR70" s="6">
        <v>2.37</v>
      </c>
      <c r="AS70" s="6">
        <v>2.53</v>
      </c>
      <c r="AT70" s="6">
        <v>3.5</v>
      </c>
      <c r="AU70" s="6">
        <v>4.62</v>
      </c>
      <c r="AV70" s="6">
        <v>3.65</v>
      </c>
      <c r="AW70" s="6">
        <v>3.47</v>
      </c>
      <c r="AX70" s="6">
        <v>4.19</v>
      </c>
      <c r="AY70" s="6">
        <v>4.43</v>
      </c>
      <c r="AZ70" s="6">
        <v>3.74</v>
      </c>
      <c r="BA70" s="6">
        <v>2.75</v>
      </c>
      <c r="BB70" s="6">
        <v>2.85</v>
      </c>
      <c r="BC70" s="6">
        <v>2</v>
      </c>
      <c r="BD70" s="6">
        <v>1.35</v>
      </c>
      <c r="BE70" s="6">
        <v>1.01</v>
      </c>
      <c r="BF70" s="6">
        <v>0.66</v>
      </c>
      <c r="BG70" s="6">
        <v>0.31</v>
      </c>
      <c r="BH70" s="6">
        <v>0.1</v>
      </c>
      <c r="BI70" s="6">
        <v>0.0232</v>
      </c>
      <c r="BJ70" s="3"/>
      <c r="BK70" s="6">
        <v>137462</v>
      </c>
      <c r="BL70" s="7">
        <f t="shared" si="1"/>
        <v>680</v>
      </c>
    </row>
    <row r="71" spans="1:64">
      <c r="A71" s="4">
        <v>42735</v>
      </c>
      <c r="B71" s="6">
        <v>5.91</v>
      </c>
      <c r="C71" s="6">
        <v>5.51</v>
      </c>
      <c r="D71" s="6">
        <v>5.22</v>
      </c>
      <c r="E71" s="6">
        <v>5.32</v>
      </c>
      <c r="F71" s="6">
        <v>6.83</v>
      </c>
      <c r="G71" s="6">
        <v>9.21</v>
      </c>
      <c r="H71" s="6">
        <v>7.56</v>
      </c>
      <c r="I71" s="6">
        <v>6.95</v>
      </c>
      <c r="J71" s="6">
        <v>8.18</v>
      </c>
      <c r="K71" s="6">
        <v>9.03</v>
      </c>
      <c r="L71" s="6">
        <v>8.43</v>
      </c>
      <c r="M71" s="6">
        <v>5.15</v>
      </c>
      <c r="N71" s="6">
        <v>5.85</v>
      </c>
      <c r="O71" s="6">
        <v>4.18</v>
      </c>
      <c r="P71" s="6">
        <v>2.74</v>
      </c>
      <c r="Q71" s="6">
        <v>1.94</v>
      </c>
      <c r="R71" s="6">
        <v>1.24</v>
      </c>
      <c r="S71" s="6">
        <v>0.55</v>
      </c>
      <c r="T71" s="6">
        <v>0.16</v>
      </c>
      <c r="U71" s="6">
        <v>0.04</v>
      </c>
      <c r="V71" s="6">
        <v>3.17</v>
      </c>
      <c r="W71" s="6">
        <v>2.99</v>
      </c>
      <c r="X71" s="6">
        <v>2.83</v>
      </c>
      <c r="Y71" s="6">
        <v>2.87</v>
      </c>
      <c r="Z71" s="6">
        <v>3.57</v>
      </c>
      <c r="AA71" s="6">
        <v>4.68</v>
      </c>
      <c r="AB71" s="6">
        <v>3.81</v>
      </c>
      <c r="AC71" s="6">
        <v>3.54</v>
      </c>
      <c r="AD71" s="6">
        <v>4.17</v>
      </c>
      <c r="AE71" s="6">
        <v>4.59</v>
      </c>
      <c r="AF71" s="6">
        <v>4.27</v>
      </c>
      <c r="AG71" s="6">
        <v>2.61</v>
      </c>
      <c r="AH71" s="6">
        <v>2.92</v>
      </c>
      <c r="AI71" s="6">
        <v>2.06</v>
      </c>
      <c r="AJ71" s="6">
        <v>1.34</v>
      </c>
      <c r="AK71" s="6">
        <v>0.93</v>
      </c>
      <c r="AL71" s="6">
        <v>0.56</v>
      </c>
      <c r="AM71" s="6">
        <v>0.23</v>
      </c>
      <c r="AN71" s="6">
        <v>0.05</v>
      </c>
      <c r="AO71" s="6">
        <v>0.01</v>
      </c>
      <c r="AP71" s="6">
        <v>2.74</v>
      </c>
      <c r="AQ71" s="6">
        <v>2.52</v>
      </c>
      <c r="AR71" s="6">
        <v>2.39</v>
      </c>
      <c r="AS71" s="6">
        <v>2.45</v>
      </c>
      <c r="AT71" s="6">
        <v>3.26</v>
      </c>
      <c r="AU71" s="6">
        <v>4.53</v>
      </c>
      <c r="AV71" s="6">
        <v>3.76</v>
      </c>
      <c r="AW71" s="6">
        <v>3.41</v>
      </c>
      <c r="AX71" s="6">
        <v>4.01</v>
      </c>
      <c r="AY71" s="6">
        <v>4.44</v>
      </c>
      <c r="AZ71" s="6">
        <v>4.16</v>
      </c>
      <c r="BA71" s="6">
        <v>2.54</v>
      </c>
      <c r="BB71" s="6">
        <v>2.93</v>
      </c>
      <c r="BC71" s="6">
        <v>2.12</v>
      </c>
      <c r="BD71" s="6">
        <v>1.39</v>
      </c>
      <c r="BE71" s="6">
        <v>1.01</v>
      </c>
      <c r="BF71" s="6">
        <v>0.68</v>
      </c>
      <c r="BG71" s="6">
        <v>0.33</v>
      </c>
      <c r="BH71" s="6">
        <v>0.11</v>
      </c>
      <c r="BI71" s="6">
        <v>0.02</v>
      </c>
      <c r="BJ71" s="3"/>
      <c r="BK71" s="6">
        <v>138271</v>
      </c>
      <c r="BL71" s="7">
        <f t="shared" si="1"/>
        <v>809</v>
      </c>
    </row>
    <row r="72" spans="1:64">
      <c r="A72" s="4">
        <v>43100</v>
      </c>
      <c r="B72" s="6">
        <v>5.96</v>
      </c>
      <c r="C72" s="6">
        <v>5.53</v>
      </c>
      <c r="D72" s="6">
        <v>5.3</v>
      </c>
      <c r="E72" s="6">
        <v>5.17</v>
      </c>
      <c r="F72" s="6">
        <v>6.39</v>
      </c>
      <c r="G72" s="6">
        <v>8.79</v>
      </c>
      <c r="H72" s="6">
        <v>7.77</v>
      </c>
      <c r="I72" s="6">
        <v>7.21</v>
      </c>
      <c r="J72" s="6">
        <v>7.66</v>
      </c>
      <c r="K72" s="6">
        <v>9.21</v>
      </c>
      <c r="L72" s="6">
        <v>8.45</v>
      </c>
      <c r="M72" s="6">
        <v>5.22</v>
      </c>
      <c r="N72" s="6">
        <v>5.94</v>
      </c>
      <c r="O72" s="6">
        <v>4.5</v>
      </c>
      <c r="P72" s="6">
        <v>2.85</v>
      </c>
      <c r="Q72" s="6">
        <v>1.97</v>
      </c>
      <c r="R72" s="6">
        <v>1.28</v>
      </c>
      <c r="S72" s="6">
        <v>0.58</v>
      </c>
      <c r="T72" s="6">
        <v>0.17</v>
      </c>
      <c r="U72" s="6">
        <v>0.04</v>
      </c>
      <c r="V72" s="6">
        <v>3.18</v>
      </c>
      <c r="W72" s="6">
        <v>3</v>
      </c>
      <c r="X72" s="6">
        <v>2.88</v>
      </c>
      <c r="Y72" s="6">
        <v>2.8</v>
      </c>
      <c r="Z72" s="6">
        <v>3.36</v>
      </c>
      <c r="AA72" s="6">
        <v>4.49</v>
      </c>
      <c r="AB72" s="6">
        <v>3.9</v>
      </c>
      <c r="AC72" s="6">
        <v>3.66</v>
      </c>
      <c r="AD72" s="6">
        <v>3.91</v>
      </c>
      <c r="AE72" s="6">
        <v>4.69</v>
      </c>
      <c r="AF72" s="6">
        <v>4.28</v>
      </c>
      <c r="AG72" s="6">
        <v>2.64</v>
      </c>
      <c r="AH72" s="6">
        <v>2.97</v>
      </c>
      <c r="AI72" s="6">
        <v>2.21</v>
      </c>
      <c r="AJ72" s="6">
        <v>1.38</v>
      </c>
      <c r="AK72" s="6">
        <v>0.94</v>
      </c>
      <c r="AL72" s="6">
        <v>0.58</v>
      </c>
      <c r="AM72" s="6">
        <v>0.24</v>
      </c>
      <c r="AN72" s="6">
        <v>0.06</v>
      </c>
      <c r="AO72" s="6">
        <v>0.01</v>
      </c>
      <c r="AP72" s="6">
        <v>2.78</v>
      </c>
      <c r="AQ72" s="6">
        <v>2.53</v>
      </c>
      <c r="AR72" s="6">
        <v>2.43</v>
      </c>
      <c r="AS72" s="6">
        <v>2.38</v>
      </c>
      <c r="AT72" s="6">
        <v>3.03</v>
      </c>
      <c r="AU72" s="6">
        <v>4.3</v>
      </c>
      <c r="AV72" s="6">
        <v>3.86</v>
      </c>
      <c r="AW72" s="6">
        <v>3.55</v>
      </c>
      <c r="AX72" s="6">
        <v>3.75</v>
      </c>
      <c r="AY72" s="6">
        <v>4.52</v>
      </c>
      <c r="AZ72" s="6">
        <v>4.17</v>
      </c>
      <c r="BA72" s="6">
        <v>2.58</v>
      </c>
      <c r="BB72" s="6">
        <v>2.97</v>
      </c>
      <c r="BC72" s="6">
        <v>2.29</v>
      </c>
      <c r="BD72" s="6">
        <v>1.47</v>
      </c>
      <c r="BE72" s="6">
        <v>1.03</v>
      </c>
      <c r="BF72" s="6">
        <v>0.7</v>
      </c>
      <c r="BG72" s="6">
        <v>0.34</v>
      </c>
      <c r="BH72" s="6">
        <v>0.11</v>
      </c>
      <c r="BI72" s="6">
        <v>0.03</v>
      </c>
      <c r="BJ72" s="3"/>
      <c r="BK72" s="6">
        <v>139008</v>
      </c>
      <c r="BL72" s="7">
        <f t="shared" si="1"/>
        <v>737</v>
      </c>
    </row>
    <row r="73" spans="1:64">
      <c r="A73" s="4">
        <v>43465</v>
      </c>
      <c r="B73" s="6">
        <v>5.89</v>
      </c>
      <c r="C73" s="6">
        <v>5.53</v>
      </c>
      <c r="D73" s="6">
        <v>5.44</v>
      </c>
      <c r="E73" s="6">
        <v>5.09</v>
      </c>
      <c r="F73" s="6">
        <v>5.95</v>
      </c>
      <c r="G73" s="6">
        <v>8.12</v>
      </c>
      <c r="H73" s="6">
        <v>8.14</v>
      </c>
      <c r="I73" s="6">
        <v>7.15</v>
      </c>
      <c r="J73" s="6">
        <v>7.3</v>
      </c>
      <c r="K73" s="6">
        <v>8.94</v>
      </c>
      <c r="L73" s="6">
        <v>8.46</v>
      </c>
      <c r="M73" s="6">
        <v>6.1</v>
      </c>
      <c r="N73" s="6">
        <v>5.94</v>
      </c>
      <c r="O73" s="6">
        <v>4.79</v>
      </c>
      <c r="P73" s="6">
        <v>3.04</v>
      </c>
      <c r="Q73" s="6">
        <v>1.99</v>
      </c>
      <c r="R73" s="6">
        <v>1.3</v>
      </c>
      <c r="S73" s="6">
        <v>0.6</v>
      </c>
      <c r="T73" s="6">
        <v>0.18</v>
      </c>
      <c r="U73" s="6">
        <v>0.04</v>
      </c>
      <c r="V73" s="6">
        <v>3.14</v>
      </c>
      <c r="W73" s="6">
        <v>2.99</v>
      </c>
      <c r="X73" s="6">
        <v>2.95</v>
      </c>
      <c r="Y73" s="6">
        <v>2.76</v>
      </c>
      <c r="Z73" s="6">
        <v>3.15</v>
      </c>
      <c r="AA73" s="6">
        <v>4.17</v>
      </c>
      <c r="AB73" s="6">
        <v>4.09</v>
      </c>
      <c r="AC73" s="6">
        <v>3.63</v>
      </c>
      <c r="AD73" s="6">
        <v>3.72</v>
      </c>
      <c r="AE73" s="6">
        <v>4.55</v>
      </c>
      <c r="AF73" s="6">
        <v>4.28</v>
      </c>
      <c r="AG73" s="6">
        <v>3.08</v>
      </c>
      <c r="AH73" s="6">
        <v>2.98</v>
      </c>
      <c r="AI73" s="6">
        <v>2.36</v>
      </c>
      <c r="AJ73" s="6">
        <v>1.48</v>
      </c>
      <c r="AK73" s="6">
        <v>0.94</v>
      </c>
      <c r="AL73" s="6">
        <v>0.56</v>
      </c>
      <c r="AM73" s="6">
        <v>0.25</v>
      </c>
      <c r="AN73" s="6">
        <v>0.06</v>
      </c>
      <c r="AO73" s="6">
        <v>0.01</v>
      </c>
      <c r="AP73" s="6">
        <v>2.75</v>
      </c>
      <c r="AQ73" s="6">
        <v>2.54</v>
      </c>
      <c r="AR73" s="6">
        <v>2.49</v>
      </c>
      <c r="AS73" s="6">
        <v>2.33</v>
      </c>
      <c r="AT73" s="6">
        <v>2.79</v>
      </c>
      <c r="AU73" s="6">
        <v>3.95</v>
      </c>
      <c r="AV73" s="6">
        <v>4.05</v>
      </c>
      <c r="AW73" s="6">
        <v>3.53</v>
      </c>
      <c r="AX73" s="6">
        <v>3.58</v>
      </c>
      <c r="AY73" s="6">
        <v>4.39</v>
      </c>
      <c r="AZ73" s="6">
        <v>4.19</v>
      </c>
      <c r="BA73" s="6">
        <v>3.03</v>
      </c>
      <c r="BB73" s="6">
        <v>2.96</v>
      </c>
      <c r="BC73" s="6">
        <v>2.43</v>
      </c>
      <c r="BD73" s="6">
        <v>1.56</v>
      </c>
      <c r="BE73" s="6">
        <v>1.05</v>
      </c>
      <c r="BF73" s="6">
        <v>0.73</v>
      </c>
      <c r="BG73" s="6">
        <v>0.35</v>
      </c>
      <c r="BH73" s="6">
        <v>0.12</v>
      </c>
      <c r="BI73" s="6">
        <v>0.03</v>
      </c>
      <c r="BJ73" s="3"/>
      <c r="BK73" s="6">
        <v>139538</v>
      </c>
      <c r="BL73" s="7">
        <f t="shared" si="1"/>
        <v>530</v>
      </c>
    </row>
    <row r="74" spans="1:64">
      <c r="A74" s="4">
        <v>43830</v>
      </c>
      <c r="B74" s="6">
        <v>5.74</v>
      </c>
      <c r="C74" s="6">
        <v>5.56</v>
      </c>
      <c r="D74" s="6">
        <v>5.48</v>
      </c>
      <c r="E74" s="6">
        <v>5.11</v>
      </c>
      <c r="F74" s="6">
        <v>5.63</v>
      </c>
      <c r="G74" s="6">
        <v>7.49</v>
      </c>
      <c r="H74" s="6">
        <v>8.61</v>
      </c>
      <c r="I74" s="6">
        <v>7.12</v>
      </c>
      <c r="J74" s="6">
        <v>7.06</v>
      </c>
      <c r="K74" s="6">
        <v>8.76</v>
      </c>
      <c r="L74" s="6">
        <v>8.53</v>
      </c>
      <c r="M74" s="6">
        <v>6.78</v>
      </c>
      <c r="N74" s="6">
        <v>5.56</v>
      </c>
      <c r="O74" s="6">
        <v>5.05</v>
      </c>
      <c r="P74" s="6">
        <v>3.27</v>
      </c>
      <c r="Q74" s="6">
        <v>2.07</v>
      </c>
      <c r="R74" s="6">
        <v>1.31</v>
      </c>
      <c r="S74" s="6">
        <v>0.64</v>
      </c>
      <c r="T74" s="6">
        <v>0.19</v>
      </c>
      <c r="U74" s="6">
        <v>0.04</v>
      </c>
      <c r="V74" s="6">
        <v>3.06</v>
      </c>
      <c r="W74" s="6">
        <v>3</v>
      </c>
      <c r="X74" s="6">
        <v>2.98</v>
      </c>
      <c r="Y74" s="6">
        <v>2.77</v>
      </c>
      <c r="Z74" s="6">
        <v>3.01</v>
      </c>
      <c r="AA74" s="6">
        <v>3.86</v>
      </c>
      <c r="AB74" s="6">
        <v>4.33</v>
      </c>
      <c r="AC74" s="6">
        <v>3.6</v>
      </c>
      <c r="AD74" s="6">
        <v>3.59</v>
      </c>
      <c r="AE74" s="6">
        <v>4.46</v>
      </c>
      <c r="AF74" s="6">
        <v>4.31</v>
      </c>
      <c r="AG74" s="6">
        <v>3.41</v>
      </c>
      <c r="AH74" s="6">
        <v>2.79</v>
      </c>
      <c r="AI74" s="6">
        <v>2.47</v>
      </c>
      <c r="AJ74" s="6">
        <v>1.58</v>
      </c>
      <c r="AK74" s="6">
        <v>0.97</v>
      </c>
      <c r="AL74" s="6">
        <v>0.57</v>
      </c>
      <c r="AM74" s="6">
        <v>0.27</v>
      </c>
      <c r="AN74" s="6">
        <v>0.07</v>
      </c>
      <c r="AO74" s="6">
        <v>0.01</v>
      </c>
      <c r="AP74" s="6">
        <v>2.69</v>
      </c>
      <c r="AQ74" s="6">
        <v>2.56</v>
      </c>
      <c r="AR74" s="6">
        <v>2.5</v>
      </c>
      <c r="AS74" s="6">
        <v>2.34</v>
      </c>
      <c r="AT74" s="6">
        <v>2.63</v>
      </c>
      <c r="AU74" s="6">
        <v>3.62</v>
      </c>
      <c r="AV74" s="6">
        <v>4.28</v>
      </c>
      <c r="AW74" s="6">
        <v>3.52</v>
      </c>
      <c r="AX74" s="6">
        <v>3.46</v>
      </c>
      <c r="AY74" s="6">
        <v>4.3</v>
      </c>
      <c r="AZ74" s="6">
        <v>4.22</v>
      </c>
      <c r="BA74" s="6">
        <v>3.38</v>
      </c>
      <c r="BB74" s="6">
        <v>2.77</v>
      </c>
      <c r="BC74" s="6">
        <v>2.58</v>
      </c>
      <c r="BD74" s="6">
        <v>1.68</v>
      </c>
      <c r="BE74" s="6">
        <v>1.1</v>
      </c>
      <c r="BF74" s="6">
        <v>0.74</v>
      </c>
      <c r="BG74" s="6">
        <v>0.38</v>
      </c>
      <c r="BH74" s="6">
        <v>0.13</v>
      </c>
      <c r="BI74" s="6">
        <v>0.03</v>
      </c>
      <c r="BJ74" s="3"/>
      <c r="BK74" s="6">
        <v>140005</v>
      </c>
      <c r="BL74" s="7">
        <f t="shared" si="1"/>
        <v>467</v>
      </c>
    </row>
    <row r="75" spans="1:64">
      <c r="A75" s="4">
        <v>44196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6">
        <v>141178</v>
      </c>
      <c r="BK75" s="3"/>
      <c r="BL75" s="7">
        <f>BJ75-BK74</f>
        <v>1173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5"/>
  <sheetViews>
    <sheetView tabSelected="1" topLeftCell="A64" workbookViewId="0">
      <selection activeCell="A76" sqref="$A76:$XFD76"/>
    </sheetView>
  </sheetViews>
  <sheetFormatPr defaultColWidth="9" defaultRowHeight="14.4" outlineLevelCol="2"/>
  <cols>
    <col min="1" max="1" width="9" style="1"/>
    <col min="2" max="2" width="11.75" style="1" customWidth="1"/>
  </cols>
  <sheetData>
    <row r="1" spans="1:2">
      <c r="A1" s="2" t="s">
        <v>0</v>
      </c>
      <c r="B1" s="2" t="s">
        <v>72</v>
      </c>
    </row>
    <row r="2" spans="1:2">
      <c r="A2" s="3" t="s">
        <v>67</v>
      </c>
      <c r="B2" s="3" t="s">
        <v>68</v>
      </c>
    </row>
    <row r="3" spans="1:2">
      <c r="A3" s="3" t="s">
        <v>69</v>
      </c>
      <c r="B3" s="3" t="s">
        <v>71</v>
      </c>
    </row>
    <row r="4" spans="1:2">
      <c r="A4" s="4">
        <v>18263</v>
      </c>
      <c r="B4" s="5">
        <v>1950</v>
      </c>
    </row>
    <row r="5" spans="1:2">
      <c r="A5" s="4">
        <v>18628</v>
      </c>
      <c r="B5" s="5">
        <v>2042</v>
      </c>
    </row>
    <row r="6" spans="1:2">
      <c r="A6" s="4">
        <v>18993</v>
      </c>
      <c r="B6" s="5">
        <v>2128</v>
      </c>
    </row>
    <row r="7" spans="1:2">
      <c r="A7" s="4">
        <v>19359</v>
      </c>
      <c r="B7" s="5">
        <v>2127</v>
      </c>
    </row>
    <row r="8" spans="1:2">
      <c r="A8" s="4">
        <v>19724</v>
      </c>
      <c r="B8" s="5">
        <v>2175</v>
      </c>
    </row>
    <row r="9" spans="1:2">
      <c r="A9" s="4">
        <v>20089</v>
      </c>
      <c r="B9" s="5">
        <v>2288</v>
      </c>
    </row>
    <row r="10" spans="1:2">
      <c r="A10" s="4">
        <v>20454</v>
      </c>
      <c r="B10" s="5">
        <v>2004</v>
      </c>
    </row>
    <row r="11" spans="1:3">
      <c r="A11" s="4">
        <v>20820</v>
      </c>
      <c r="B11" s="5">
        <v>2004</v>
      </c>
      <c r="C11">
        <f t="shared" ref="C11:C26" si="0">C12+1</f>
        <v>64</v>
      </c>
    </row>
    <row r="12" spans="1:3">
      <c r="A12" s="4">
        <v>21185</v>
      </c>
      <c r="B12" s="5">
        <v>2200</v>
      </c>
      <c r="C12">
        <f t="shared" si="0"/>
        <v>63</v>
      </c>
    </row>
    <row r="13" spans="1:3">
      <c r="A13" s="4">
        <v>21550</v>
      </c>
      <c r="B13" s="5">
        <v>1928</v>
      </c>
      <c r="C13">
        <f t="shared" si="0"/>
        <v>62</v>
      </c>
    </row>
    <row r="14" spans="1:3">
      <c r="A14" s="4">
        <v>21915</v>
      </c>
      <c r="B14" s="5">
        <v>1665</v>
      </c>
      <c r="C14">
        <f t="shared" si="0"/>
        <v>61</v>
      </c>
    </row>
    <row r="15" spans="1:3">
      <c r="A15" s="4">
        <v>22281</v>
      </c>
      <c r="B15" s="5">
        <v>1381</v>
      </c>
      <c r="C15">
        <f t="shared" si="0"/>
        <v>60</v>
      </c>
    </row>
    <row r="16" spans="1:3">
      <c r="A16" s="4">
        <v>22646</v>
      </c>
      <c r="B16" s="5">
        <v>1187</v>
      </c>
      <c r="C16">
        <f t="shared" si="0"/>
        <v>59</v>
      </c>
    </row>
    <row r="17" spans="1:3">
      <c r="A17" s="4">
        <v>23011</v>
      </c>
      <c r="B17" s="5">
        <v>2491</v>
      </c>
      <c r="C17">
        <f t="shared" si="0"/>
        <v>58</v>
      </c>
    </row>
    <row r="18" spans="1:3">
      <c r="A18" s="4">
        <v>23376</v>
      </c>
      <c r="B18" s="5">
        <v>3000</v>
      </c>
      <c r="C18">
        <f t="shared" si="0"/>
        <v>57</v>
      </c>
    </row>
    <row r="19" spans="1:3">
      <c r="A19" s="4">
        <v>23742</v>
      </c>
      <c r="B19" s="5">
        <v>2759</v>
      </c>
      <c r="C19">
        <f t="shared" si="0"/>
        <v>56</v>
      </c>
    </row>
    <row r="20" spans="1:3">
      <c r="A20" s="4">
        <v>24107</v>
      </c>
      <c r="B20" s="5">
        <v>2748</v>
      </c>
      <c r="C20">
        <f t="shared" si="0"/>
        <v>55</v>
      </c>
    </row>
    <row r="21" spans="1:3">
      <c r="A21" s="4">
        <v>24472</v>
      </c>
      <c r="B21" s="5">
        <v>2795</v>
      </c>
      <c r="C21">
        <f t="shared" si="0"/>
        <v>54</v>
      </c>
    </row>
    <row r="22" spans="1:3">
      <c r="A22" s="4">
        <v>24837</v>
      </c>
      <c r="B22" s="5">
        <v>2593</v>
      </c>
      <c r="C22">
        <f t="shared" si="0"/>
        <v>53</v>
      </c>
    </row>
    <row r="23" spans="1:3">
      <c r="A23" s="4">
        <v>25203</v>
      </c>
      <c r="B23" s="5">
        <v>2795</v>
      </c>
      <c r="C23">
        <f t="shared" si="0"/>
        <v>52</v>
      </c>
    </row>
    <row r="24" spans="1:3">
      <c r="A24" s="4">
        <v>25568</v>
      </c>
      <c r="B24" s="5">
        <v>2752</v>
      </c>
      <c r="C24">
        <f t="shared" si="0"/>
        <v>51</v>
      </c>
    </row>
    <row r="25" spans="1:3">
      <c r="A25" s="4">
        <v>25933</v>
      </c>
      <c r="B25" s="5">
        <v>2774</v>
      </c>
      <c r="C25">
        <f t="shared" si="0"/>
        <v>50</v>
      </c>
    </row>
    <row r="26" spans="1:3">
      <c r="A26" s="4">
        <v>26298</v>
      </c>
      <c r="B26" s="5">
        <v>2612</v>
      </c>
      <c r="C26">
        <f t="shared" si="0"/>
        <v>49</v>
      </c>
    </row>
    <row r="27" spans="1:3">
      <c r="A27" s="4">
        <v>26664</v>
      </c>
      <c r="B27" s="5">
        <v>2595</v>
      </c>
      <c r="C27">
        <f t="shared" ref="C27:C57" si="1">C28+1</f>
        <v>48</v>
      </c>
    </row>
    <row r="28" spans="1:3">
      <c r="A28" s="4">
        <v>27029</v>
      </c>
      <c r="B28" s="5">
        <v>2491</v>
      </c>
      <c r="C28">
        <f t="shared" si="1"/>
        <v>47</v>
      </c>
    </row>
    <row r="29" spans="1:3">
      <c r="A29" s="4">
        <v>27394</v>
      </c>
      <c r="B29" s="5">
        <v>2255</v>
      </c>
      <c r="C29">
        <f t="shared" si="1"/>
        <v>46</v>
      </c>
    </row>
    <row r="30" spans="1:3">
      <c r="A30" s="4">
        <v>27759</v>
      </c>
      <c r="B30" s="5">
        <v>2126</v>
      </c>
      <c r="C30">
        <f t="shared" si="1"/>
        <v>45</v>
      </c>
    </row>
    <row r="31" spans="1:3">
      <c r="A31" s="4">
        <v>28125</v>
      </c>
      <c r="B31" s="5">
        <v>1866</v>
      </c>
      <c r="C31">
        <f t="shared" si="1"/>
        <v>44</v>
      </c>
    </row>
    <row r="32" spans="1:3">
      <c r="A32" s="4">
        <v>28490</v>
      </c>
      <c r="B32" s="5">
        <v>1798</v>
      </c>
      <c r="C32">
        <f t="shared" si="1"/>
        <v>43</v>
      </c>
    </row>
    <row r="33" spans="1:3">
      <c r="A33" s="4">
        <v>28855</v>
      </c>
      <c r="B33" s="5">
        <v>1757</v>
      </c>
      <c r="C33">
        <f t="shared" si="1"/>
        <v>42</v>
      </c>
    </row>
    <row r="34" spans="1:3">
      <c r="A34" s="4">
        <v>29220</v>
      </c>
      <c r="B34" s="5">
        <v>1738</v>
      </c>
      <c r="C34">
        <f t="shared" si="1"/>
        <v>41</v>
      </c>
    </row>
    <row r="35" spans="1:3">
      <c r="A35" s="4">
        <v>29586</v>
      </c>
      <c r="B35" s="5">
        <v>1797</v>
      </c>
      <c r="C35">
        <f t="shared" si="1"/>
        <v>40</v>
      </c>
    </row>
    <row r="36" spans="1:3">
      <c r="A36" s="4">
        <v>29951</v>
      </c>
      <c r="B36" s="5">
        <v>2092</v>
      </c>
      <c r="C36">
        <f t="shared" si="1"/>
        <v>39</v>
      </c>
    </row>
    <row r="37" spans="1:3">
      <c r="A37" s="4">
        <v>30316</v>
      </c>
      <c r="B37" s="5">
        <v>2265</v>
      </c>
      <c r="C37">
        <f t="shared" si="1"/>
        <v>38</v>
      </c>
    </row>
    <row r="38" spans="1:3">
      <c r="A38" s="4">
        <v>30681</v>
      </c>
      <c r="B38" s="5">
        <v>2080</v>
      </c>
      <c r="C38">
        <f t="shared" si="1"/>
        <v>37</v>
      </c>
    </row>
    <row r="39" spans="1:3">
      <c r="A39" s="4">
        <v>31047</v>
      </c>
      <c r="B39" s="5">
        <v>2077</v>
      </c>
      <c r="C39">
        <f t="shared" si="1"/>
        <v>36</v>
      </c>
    </row>
    <row r="40" spans="1:3">
      <c r="A40" s="4">
        <v>31412</v>
      </c>
      <c r="B40" s="5">
        <v>2227</v>
      </c>
      <c r="C40">
        <f t="shared" si="1"/>
        <v>35</v>
      </c>
    </row>
    <row r="41" spans="1:3">
      <c r="A41" s="4">
        <v>31777</v>
      </c>
      <c r="B41" s="5">
        <v>2411</v>
      </c>
      <c r="C41">
        <f t="shared" si="1"/>
        <v>34</v>
      </c>
    </row>
    <row r="42" spans="1:3">
      <c r="A42" s="4">
        <v>32142</v>
      </c>
      <c r="B42" s="5">
        <v>2550</v>
      </c>
      <c r="C42">
        <f t="shared" si="1"/>
        <v>33</v>
      </c>
    </row>
    <row r="43" spans="1:3">
      <c r="A43" s="4">
        <v>32508</v>
      </c>
      <c r="B43" s="5">
        <v>2307</v>
      </c>
      <c r="C43">
        <f t="shared" si="1"/>
        <v>32</v>
      </c>
    </row>
    <row r="44" spans="1:3">
      <c r="A44" s="4">
        <v>32873</v>
      </c>
      <c r="B44" s="5">
        <v>2432</v>
      </c>
      <c r="C44">
        <f t="shared" si="1"/>
        <v>31</v>
      </c>
    </row>
    <row r="45" spans="1:3">
      <c r="A45" s="4">
        <v>33238</v>
      </c>
      <c r="B45" s="5">
        <v>2391</v>
      </c>
      <c r="C45">
        <f t="shared" si="1"/>
        <v>30</v>
      </c>
    </row>
    <row r="46" spans="1:3">
      <c r="A46" s="4">
        <v>33603</v>
      </c>
      <c r="B46" s="5">
        <v>2258</v>
      </c>
      <c r="C46">
        <f t="shared" si="1"/>
        <v>29</v>
      </c>
    </row>
    <row r="47" spans="1:3">
      <c r="A47" s="4">
        <v>33969</v>
      </c>
      <c r="B47" s="5">
        <v>2119</v>
      </c>
      <c r="C47">
        <f t="shared" si="1"/>
        <v>28</v>
      </c>
    </row>
    <row r="48" spans="1:3">
      <c r="A48" s="4">
        <v>34334</v>
      </c>
      <c r="B48" s="5">
        <v>2126</v>
      </c>
      <c r="C48">
        <f t="shared" si="1"/>
        <v>27</v>
      </c>
    </row>
    <row r="49" spans="1:3">
      <c r="A49" s="4">
        <v>34699</v>
      </c>
      <c r="B49" s="5">
        <v>2104</v>
      </c>
      <c r="C49">
        <f t="shared" si="1"/>
        <v>26</v>
      </c>
    </row>
    <row r="50" spans="1:3">
      <c r="A50" s="4">
        <v>35064</v>
      </c>
      <c r="B50" s="5">
        <v>2063</v>
      </c>
      <c r="C50">
        <f t="shared" si="1"/>
        <v>25</v>
      </c>
    </row>
    <row r="51" spans="1:3">
      <c r="A51" s="4">
        <v>35430</v>
      </c>
      <c r="B51" s="5">
        <v>2067</v>
      </c>
      <c r="C51">
        <f t="shared" si="1"/>
        <v>24</v>
      </c>
    </row>
    <row r="52" spans="1:3">
      <c r="A52" s="4">
        <v>35795</v>
      </c>
      <c r="B52" s="5">
        <v>2038</v>
      </c>
      <c r="C52">
        <f t="shared" si="1"/>
        <v>23</v>
      </c>
    </row>
    <row r="53" spans="1:3">
      <c r="A53" s="4">
        <v>36160</v>
      </c>
      <c r="B53" s="5">
        <v>1991</v>
      </c>
      <c r="C53">
        <f t="shared" si="1"/>
        <v>22</v>
      </c>
    </row>
    <row r="54" spans="1:3">
      <c r="A54" s="4">
        <v>36525</v>
      </c>
      <c r="B54" s="5">
        <v>1909</v>
      </c>
      <c r="C54">
        <f t="shared" si="1"/>
        <v>21</v>
      </c>
    </row>
    <row r="55" spans="1:3">
      <c r="A55" s="4">
        <v>36891</v>
      </c>
      <c r="B55" s="5">
        <v>1771</v>
      </c>
      <c r="C55">
        <f t="shared" si="1"/>
        <v>20</v>
      </c>
    </row>
    <row r="56" spans="1:3">
      <c r="A56" s="4">
        <v>37256</v>
      </c>
      <c r="B56" s="5">
        <v>1702</v>
      </c>
      <c r="C56">
        <f t="shared" si="1"/>
        <v>19</v>
      </c>
    </row>
    <row r="57" spans="1:3">
      <c r="A57" s="4">
        <v>37621</v>
      </c>
      <c r="B57" s="5">
        <v>1647</v>
      </c>
      <c r="C57">
        <f t="shared" si="1"/>
        <v>18</v>
      </c>
    </row>
    <row r="58" spans="1:3">
      <c r="A58" s="4">
        <v>37986</v>
      </c>
      <c r="B58" s="5">
        <v>1599</v>
      </c>
      <c r="C58">
        <f t="shared" ref="C58:C63" si="2">C59+1</f>
        <v>17</v>
      </c>
    </row>
    <row r="59" spans="1:3">
      <c r="A59" s="4">
        <v>38352</v>
      </c>
      <c r="B59" s="5">
        <v>1593</v>
      </c>
      <c r="C59">
        <f t="shared" si="2"/>
        <v>16</v>
      </c>
    </row>
    <row r="60" spans="1:3">
      <c r="A60" s="4">
        <v>38717</v>
      </c>
      <c r="B60" s="5">
        <v>1617</v>
      </c>
      <c r="C60">
        <f t="shared" si="2"/>
        <v>15</v>
      </c>
    </row>
    <row r="61" spans="1:3">
      <c r="A61" s="4">
        <v>39082</v>
      </c>
      <c r="B61" s="5">
        <v>1584</v>
      </c>
      <c r="C61">
        <f t="shared" si="2"/>
        <v>14</v>
      </c>
    </row>
    <row r="62" spans="1:3">
      <c r="A62" s="4">
        <v>39447</v>
      </c>
      <c r="B62" s="5">
        <v>1594</v>
      </c>
      <c r="C62">
        <f t="shared" si="2"/>
        <v>13</v>
      </c>
    </row>
    <row r="63" spans="1:3">
      <c r="A63" s="4">
        <v>39813</v>
      </c>
      <c r="B63" s="5">
        <v>1608</v>
      </c>
      <c r="C63">
        <f t="shared" si="2"/>
        <v>12</v>
      </c>
    </row>
    <row r="64" spans="1:3">
      <c r="A64" s="4">
        <v>40178</v>
      </c>
      <c r="B64" s="5">
        <v>1615</v>
      </c>
      <c r="C64">
        <f t="shared" ref="C64:C74" si="3">C65+1</f>
        <v>11</v>
      </c>
    </row>
    <row r="65" spans="1:3">
      <c r="A65" s="4">
        <v>40543</v>
      </c>
      <c r="B65" s="5">
        <v>1588</v>
      </c>
      <c r="C65">
        <f t="shared" si="3"/>
        <v>10</v>
      </c>
    </row>
    <row r="66" spans="1:3">
      <c r="A66" s="4">
        <v>40908</v>
      </c>
      <c r="B66" s="5">
        <v>1604</v>
      </c>
      <c r="C66">
        <f t="shared" si="3"/>
        <v>9</v>
      </c>
    </row>
    <row r="67" spans="1:3">
      <c r="A67" s="4">
        <v>41274</v>
      </c>
      <c r="B67" s="5">
        <v>1635</v>
      </c>
      <c r="C67">
        <f t="shared" si="3"/>
        <v>8</v>
      </c>
    </row>
    <row r="68" spans="1:3">
      <c r="A68" s="4">
        <v>41639</v>
      </c>
      <c r="B68" s="5">
        <v>1640</v>
      </c>
      <c r="C68">
        <f t="shared" si="3"/>
        <v>7</v>
      </c>
    </row>
    <row r="69" spans="1:3">
      <c r="A69" s="4">
        <v>42004</v>
      </c>
      <c r="B69" s="5">
        <v>1687</v>
      </c>
      <c r="C69">
        <f t="shared" si="3"/>
        <v>6</v>
      </c>
    </row>
    <row r="70" spans="1:3">
      <c r="A70" s="4">
        <v>42369</v>
      </c>
      <c r="B70" s="5">
        <v>1655</v>
      </c>
      <c r="C70">
        <f t="shared" si="3"/>
        <v>5</v>
      </c>
    </row>
    <row r="71" spans="1:3">
      <c r="A71" s="4">
        <v>42735</v>
      </c>
      <c r="B71" s="5">
        <v>1786</v>
      </c>
      <c r="C71">
        <f t="shared" si="3"/>
        <v>4</v>
      </c>
    </row>
    <row r="72" spans="1:3">
      <c r="A72" s="4">
        <v>43100</v>
      </c>
      <c r="B72" s="5">
        <v>1723</v>
      </c>
      <c r="C72">
        <f t="shared" si="3"/>
        <v>3</v>
      </c>
    </row>
    <row r="73" spans="1:3">
      <c r="A73" s="4">
        <v>43465</v>
      </c>
      <c r="B73" s="5">
        <v>1523</v>
      </c>
      <c r="C73">
        <f t="shared" si="3"/>
        <v>2</v>
      </c>
    </row>
    <row r="74" spans="1:3">
      <c r="A74" s="4">
        <v>43830</v>
      </c>
      <c r="B74" s="5">
        <v>1465</v>
      </c>
      <c r="C74">
        <f t="shared" si="3"/>
        <v>1</v>
      </c>
    </row>
    <row r="75" spans="2:3">
      <c r="B75" s="5">
        <f>育龄妇女TFR!J19</f>
        <v>1440</v>
      </c>
      <c r="C7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育龄妇女TFR</vt:lpstr>
      <vt:lpstr>分年龄阶段人口</vt:lpstr>
      <vt:lpstr>original</vt:lpstr>
      <vt:lpstr>出生人口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谭海鸣/01156674</dc:creator>
  <cp:lastModifiedBy>chendw</cp:lastModifiedBy>
  <dcterms:created xsi:type="dcterms:W3CDTF">2021-08-01T17:01:00Z</dcterms:created>
  <dcterms:modified xsi:type="dcterms:W3CDTF">2021-11-22T15:49:56Z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2052-11.1.0.9192</vt:lpwstr>
  </property>
</Properties>
</file>