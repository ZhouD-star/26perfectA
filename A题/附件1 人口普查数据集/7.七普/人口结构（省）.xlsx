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001-17年博士论文\191201-data\20210801-七普数据\"/>
    </mc:Choice>
  </mc:AlternateContent>
  <bookViews>
    <workbookView xWindow="0" yWindow="0" windowWidth="11970" windowHeight="4125" firstSheet="1" activeTab="3"/>
  </bookViews>
  <sheets>
    <sheet name="表1-全国总人口" sheetId="2" r:id="rId1"/>
    <sheet name="表3-1各地区人口" sheetId="1" r:id="rId2"/>
    <sheet name="表4-1各地区人口性别构成" sheetId="3" r:id="rId3"/>
    <sheet name="表5全国及各地区人口年龄结构" sheetId="4" r:id="rId4"/>
    <sheet name="表6受教育情况" sheetId="5" r:id="rId5"/>
  </sheets>
  <externalReferences>
    <externalReference r:id="rId6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4" l="1"/>
  <c r="D9" i="4"/>
  <c r="E9" i="4" s="1"/>
  <c r="G8" i="4" l="1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8" i="5"/>
</calcChain>
</file>

<file path=xl/sharedStrings.xml><?xml version="1.0" encoding="utf-8"?>
<sst xmlns="http://schemas.openxmlformats.org/spreadsheetml/2006/main" count="220" uniqueCount="80">
  <si>
    <r>
      <t>表</t>
    </r>
    <r>
      <rPr>
        <b/>
        <sz val="12"/>
        <color rgb="FF333333"/>
        <rFont val="Times New Roman"/>
        <family val="1"/>
      </rPr>
      <t>3-1 </t>
    </r>
    <r>
      <rPr>
        <b/>
        <sz val="12"/>
        <color rgb="FF333333"/>
        <rFont val="宋体"/>
        <family val="3"/>
        <charset val="134"/>
        <scheme val="minor"/>
      </rPr>
      <t>各地区人口</t>
    </r>
  </si>
  <si>
    <r>
      <t>　　　　　　　　　　　　　　　　　　　　　　　　　　　　　　　　　　　　　　　　　　　</t>
    </r>
    <r>
      <rPr>
        <sz val="9"/>
        <color rgb="FF333333"/>
        <rFont val="宋体"/>
        <family val="3"/>
        <charset val="134"/>
        <scheme val="minor"/>
      </rPr>
      <t>单位：人、</t>
    </r>
    <r>
      <rPr>
        <sz val="9"/>
        <color rgb="FF333333"/>
        <rFont val="Times New Roman"/>
        <family val="1"/>
      </rPr>
      <t>%</t>
    </r>
  </si>
  <si>
    <t>地区</t>
  </si>
  <si>
    <t>人口数</t>
  </si>
  <si>
    <r>
      <t>比重</t>
    </r>
    <r>
      <rPr>
        <vertAlign val="superscript"/>
        <sz val="11"/>
        <color theme="1"/>
        <rFont val="Times New Roman"/>
        <family val="1"/>
      </rPr>
      <t>[6]</t>
    </r>
  </si>
  <si>
    <r>
      <t>2020</t>
    </r>
    <r>
      <rPr>
        <sz val="11"/>
        <color theme="1"/>
        <rFont val="宋体"/>
        <family val="3"/>
        <charset val="134"/>
        <scheme val="minor"/>
      </rPr>
      <t>年</t>
    </r>
  </si>
  <si>
    <r>
      <t>2010</t>
    </r>
    <r>
      <rPr>
        <sz val="11"/>
        <color theme="1"/>
        <rFont val="宋体"/>
        <family val="3"/>
        <charset val="134"/>
        <scheme val="minor"/>
      </rPr>
      <t>年</t>
    </r>
  </si>
  <si>
    <r>
      <t>全　国</t>
    </r>
    <r>
      <rPr>
        <b/>
        <vertAlign val="superscript"/>
        <sz val="11"/>
        <color theme="1"/>
        <rFont val="Times New Roman"/>
        <family val="1"/>
      </rPr>
      <t>[5]</t>
    </r>
  </si>
  <si>
    <t>北　京</t>
  </si>
  <si>
    <t>天　津</t>
  </si>
  <si>
    <t>河　北</t>
  </si>
  <si>
    <t>山　西</t>
  </si>
  <si>
    <t>内蒙古</t>
  </si>
  <si>
    <t>辽　宁</t>
  </si>
  <si>
    <t>吉　林</t>
  </si>
  <si>
    <t>黑龙江</t>
  </si>
  <si>
    <t>上　海</t>
  </si>
  <si>
    <t>江　苏</t>
  </si>
  <si>
    <t>浙　江</t>
  </si>
  <si>
    <t>安　徽</t>
  </si>
  <si>
    <t>福　建</t>
  </si>
  <si>
    <t>江　西</t>
  </si>
  <si>
    <t>山　东</t>
  </si>
  <si>
    <t>河　南</t>
  </si>
  <si>
    <t>湖　北</t>
  </si>
  <si>
    <t>湖　南</t>
  </si>
  <si>
    <t>广　东</t>
  </si>
  <si>
    <t>广　西</t>
  </si>
  <si>
    <t>海　南</t>
  </si>
  <si>
    <t>重　庆</t>
  </si>
  <si>
    <t>四　川</t>
  </si>
  <si>
    <t>贵　州</t>
  </si>
  <si>
    <t>云　南</t>
  </si>
  <si>
    <t>西　藏</t>
  </si>
  <si>
    <t>陕　西</t>
  </si>
  <si>
    <t>甘　肃</t>
  </si>
  <si>
    <t>青　海</t>
  </si>
  <si>
    <t>宁　夏</t>
  </si>
  <si>
    <t>新　疆</t>
  </si>
  <si>
    <t>现役军人</t>
  </si>
  <si>
    <r>
      <t>　全国总人口</t>
    </r>
    <r>
      <rPr>
        <vertAlign val="superscript"/>
        <sz val="12"/>
        <color rgb="FF333333"/>
        <rFont val="Times New Roman"/>
        <family val="1"/>
      </rPr>
      <t>[2]</t>
    </r>
    <r>
      <rPr>
        <sz val="12"/>
        <color rgb="FF333333"/>
        <rFont val="宋体"/>
        <family val="3"/>
        <charset val="134"/>
        <scheme val="minor"/>
      </rPr>
      <t>为</t>
    </r>
    <r>
      <rPr>
        <sz val="12"/>
        <color rgb="FF333333"/>
        <rFont val="宋体"/>
        <family val="3"/>
        <charset val="134"/>
        <scheme val="minor"/>
      </rPr>
      <t>人，其中：</t>
    </r>
    <phoneticPr fontId="14" type="noConversion"/>
  </si>
  <si>
    <r>
      <t>　　普查登记的大陆</t>
    </r>
    <r>
      <rPr>
        <sz val="12"/>
        <color rgb="FF333333"/>
        <rFont val="Times New Roman"/>
        <family val="1"/>
      </rPr>
      <t>31</t>
    </r>
    <r>
      <rPr>
        <sz val="12"/>
        <color rgb="FF333333"/>
        <rFont val="宋体"/>
        <family val="3"/>
        <charset val="134"/>
        <scheme val="minor"/>
      </rPr>
      <t>个省、自治区、直辖市和现役军人的人口共</t>
    </r>
    <r>
      <rPr>
        <sz val="12"/>
        <color rgb="FF333333"/>
        <rFont val="宋体"/>
        <family val="3"/>
        <charset val="134"/>
        <scheme val="minor"/>
      </rPr>
      <t>人；</t>
    </r>
    <phoneticPr fontId="14" type="noConversion"/>
  </si>
  <si>
    <r>
      <t>　　香港特别行政区人口</t>
    </r>
    <r>
      <rPr>
        <vertAlign val="superscript"/>
        <sz val="12"/>
        <color rgb="FF333333"/>
        <rFont val="Times New Roman"/>
        <family val="1"/>
      </rPr>
      <t>[3]</t>
    </r>
    <r>
      <rPr>
        <sz val="12"/>
        <color rgb="FF333333"/>
        <rFont val="宋体"/>
        <family val="3"/>
        <charset val="134"/>
        <scheme val="minor"/>
      </rPr>
      <t>为</t>
    </r>
    <r>
      <rPr>
        <sz val="12"/>
        <color rgb="FF333333"/>
        <rFont val="宋体"/>
        <family val="3"/>
        <charset val="134"/>
        <scheme val="minor"/>
      </rPr>
      <t>人；</t>
    </r>
    <phoneticPr fontId="14" type="noConversion"/>
  </si>
  <si>
    <r>
      <t>　　澳门特别行政区人口</t>
    </r>
    <r>
      <rPr>
        <vertAlign val="superscript"/>
        <sz val="12"/>
        <color rgb="FF333333"/>
        <rFont val="Times New Roman"/>
        <family val="1"/>
      </rPr>
      <t>[4]</t>
    </r>
    <r>
      <rPr>
        <sz val="12"/>
        <color rgb="FF333333"/>
        <rFont val="宋体"/>
        <family val="3"/>
        <charset val="134"/>
        <scheme val="minor"/>
      </rPr>
      <t>为</t>
    </r>
    <r>
      <rPr>
        <sz val="12"/>
        <color rgb="FF333333"/>
        <rFont val="宋体"/>
        <family val="3"/>
        <charset val="134"/>
        <scheme val="minor"/>
      </rPr>
      <t>人；</t>
    </r>
    <phoneticPr fontId="14" type="noConversion"/>
  </si>
  <si>
    <r>
      <t>　　台湾地区人口</t>
    </r>
    <r>
      <rPr>
        <vertAlign val="superscript"/>
        <sz val="12"/>
        <color rgb="FF333333"/>
        <rFont val="Times New Roman"/>
        <family val="1"/>
      </rPr>
      <t>[5]</t>
    </r>
    <r>
      <rPr>
        <sz val="12"/>
        <color rgb="FF333333"/>
        <rFont val="宋体"/>
        <family val="3"/>
        <charset val="134"/>
        <scheme val="minor"/>
      </rPr>
      <t>为</t>
    </r>
    <r>
      <rPr>
        <sz val="12"/>
        <color rgb="FF333333"/>
        <rFont val="宋体"/>
        <family val="3"/>
        <charset val="134"/>
        <scheme val="minor"/>
      </rPr>
      <t>人。</t>
    </r>
    <phoneticPr fontId="14" type="noConversion"/>
  </si>
  <si>
    <t>一、全国人口性别构成</t>
  </si>
  <si>
    <r>
      <t>　　全国人口</t>
    </r>
    <r>
      <rPr>
        <vertAlign val="superscript"/>
        <sz val="12"/>
        <color rgb="FF333333"/>
        <rFont val="Times New Roman"/>
        <family val="1"/>
      </rPr>
      <t>[2]</t>
    </r>
    <r>
      <rPr>
        <sz val="12"/>
        <color rgb="FF333333"/>
        <rFont val="宋体"/>
        <family val="3"/>
        <charset val="134"/>
        <scheme val="minor"/>
      </rPr>
      <t>中，男性人口为</t>
    </r>
    <r>
      <rPr>
        <sz val="12"/>
        <color rgb="FF333333"/>
        <rFont val="Times New Roman"/>
        <family val="1"/>
      </rPr>
      <t>723339956</t>
    </r>
    <r>
      <rPr>
        <sz val="12"/>
        <color rgb="FF333333"/>
        <rFont val="宋体"/>
        <family val="3"/>
        <charset val="134"/>
        <scheme val="minor"/>
      </rPr>
      <t>人，占</t>
    </r>
    <r>
      <rPr>
        <sz val="12"/>
        <color rgb="FF333333"/>
        <rFont val="Times New Roman"/>
        <family val="1"/>
      </rPr>
      <t>51.24%</t>
    </r>
    <r>
      <rPr>
        <sz val="12"/>
        <color rgb="FF333333"/>
        <rFont val="宋体"/>
        <family val="3"/>
        <charset val="134"/>
        <scheme val="minor"/>
      </rPr>
      <t>；女性人口为</t>
    </r>
    <r>
      <rPr>
        <sz val="12"/>
        <color rgb="FF333333"/>
        <rFont val="Times New Roman"/>
        <family val="1"/>
      </rPr>
      <t>688438768</t>
    </r>
    <r>
      <rPr>
        <sz val="12"/>
        <color rgb="FF333333"/>
        <rFont val="宋体"/>
        <family val="3"/>
        <charset val="134"/>
        <scheme val="minor"/>
      </rPr>
      <t>人，占</t>
    </r>
    <r>
      <rPr>
        <sz val="12"/>
        <color rgb="FF333333"/>
        <rFont val="Times New Roman"/>
        <family val="1"/>
      </rPr>
      <t>48.76%</t>
    </r>
    <r>
      <rPr>
        <sz val="12"/>
        <color rgb="FF333333"/>
        <rFont val="宋体"/>
        <family val="3"/>
        <charset val="134"/>
        <scheme val="minor"/>
      </rPr>
      <t>。总人口性别比（以女性为</t>
    </r>
    <r>
      <rPr>
        <sz val="12"/>
        <color rgb="FF333333"/>
        <rFont val="Times New Roman"/>
        <family val="1"/>
      </rPr>
      <t>100</t>
    </r>
    <r>
      <rPr>
        <sz val="12"/>
        <color rgb="FF333333"/>
        <rFont val="宋体"/>
        <family val="3"/>
        <charset val="134"/>
        <scheme val="minor"/>
      </rPr>
      <t>，男性对女性的比例）为</t>
    </r>
    <r>
      <rPr>
        <sz val="12"/>
        <color rgb="FF333333"/>
        <rFont val="Times New Roman"/>
        <family val="1"/>
      </rPr>
      <t>105.07</t>
    </r>
    <r>
      <rPr>
        <sz val="12"/>
        <color rgb="FF333333"/>
        <rFont val="宋体"/>
        <family val="3"/>
        <charset val="134"/>
        <scheme val="minor"/>
      </rPr>
      <t>，与</t>
    </r>
    <r>
      <rPr>
        <sz val="12"/>
        <color rgb="FF333333"/>
        <rFont val="Times New Roman"/>
        <family val="1"/>
      </rPr>
      <t>2010</t>
    </r>
    <r>
      <rPr>
        <sz val="12"/>
        <color rgb="FF333333"/>
        <rFont val="宋体"/>
        <family val="3"/>
        <charset val="134"/>
        <scheme val="minor"/>
      </rPr>
      <t>年第六次全国人口普查基本持平。</t>
    </r>
  </si>
  <si>
    <t>男</t>
  </si>
  <si>
    <t>男</t>
    <phoneticPr fontId="14" type="noConversion"/>
  </si>
  <si>
    <t>女</t>
  </si>
  <si>
    <t>女</t>
    <phoneticPr fontId="14" type="noConversion"/>
  </si>
  <si>
    <r>
      <t>表</t>
    </r>
    <r>
      <rPr>
        <b/>
        <sz val="12"/>
        <color rgb="FF333333"/>
        <rFont val="Times New Roman"/>
        <family val="1"/>
      </rPr>
      <t>4-1 </t>
    </r>
    <r>
      <rPr>
        <b/>
        <sz val="12"/>
        <color rgb="FF333333"/>
        <rFont val="宋体"/>
        <family val="3"/>
        <charset val="134"/>
        <scheme val="minor"/>
      </rPr>
      <t>各地区人口性别构成</t>
    </r>
  </si>
  <si>
    <r>
      <t>　　　　　　　　　　　　　　　　　　　　　　　　　　　　　　　　　　　　　　　　　　　　　</t>
    </r>
    <r>
      <rPr>
        <sz val="9"/>
        <color rgb="FF333333"/>
        <rFont val="宋体"/>
        <family val="3"/>
        <charset val="134"/>
        <scheme val="minor"/>
      </rPr>
      <t>单位：</t>
    </r>
    <r>
      <rPr>
        <sz val="9"/>
        <color rgb="FF333333"/>
        <rFont val="Times New Roman"/>
        <family val="1"/>
      </rPr>
      <t>%</t>
    </r>
  </si>
  <si>
    <t>比重</t>
  </si>
  <si>
    <t>性别比</t>
  </si>
  <si>
    <t>全　国</t>
  </si>
  <si>
    <r>
      <t>表</t>
    </r>
    <r>
      <rPr>
        <b/>
        <sz val="12"/>
        <color rgb="FF333333"/>
        <rFont val="Times New Roman"/>
        <family val="1"/>
      </rPr>
      <t>5-1</t>
    </r>
    <r>
      <rPr>
        <b/>
        <sz val="12"/>
        <color rgb="FF333333"/>
        <rFont val="宋体"/>
        <family val="3"/>
        <charset val="134"/>
        <scheme val="minor"/>
      </rPr>
      <t>　全国人口年龄构成</t>
    </r>
  </si>
  <si>
    <t>年龄</t>
  </si>
  <si>
    <t>总　计</t>
  </si>
  <si>
    <r>
      <t>0</t>
    </r>
    <r>
      <rPr>
        <sz val="11"/>
        <color theme="1"/>
        <rFont val="宋体"/>
        <family val="3"/>
        <charset val="134"/>
        <scheme val="minor"/>
      </rPr>
      <t>—</t>
    </r>
    <r>
      <rPr>
        <sz val="11"/>
        <color rgb="FF000000"/>
        <rFont val="Times New Roman"/>
        <family val="1"/>
      </rPr>
      <t>14</t>
    </r>
    <r>
      <rPr>
        <sz val="11"/>
        <color rgb="FF000000"/>
        <rFont val="宋体"/>
        <family val="3"/>
        <charset val="134"/>
        <scheme val="minor"/>
      </rPr>
      <t>岁</t>
    </r>
  </si>
  <si>
    <r>
      <t>15</t>
    </r>
    <r>
      <rPr>
        <sz val="11"/>
        <color theme="1"/>
        <rFont val="宋体"/>
        <family val="3"/>
        <charset val="134"/>
        <scheme val="minor"/>
      </rPr>
      <t>—</t>
    </r>
    <r>
      <rPr>
        <sz val="11"/>
        <color rgb="FF000000"/>
        <rFont val="Times New Roman"/>
        <family val="1"/>
      </rPr>
      <t>59</t>
    </r>
    <r>
      <rPr>
        <sz val="11"/>
        <color rgb="FF000000"/>
        <rFont val="宋体"/>
        <family val="3"/>
        <charset val="134"/>
        <scheme val="minor"/>
      </rPr>
      <t>岁</t>
    </r>
  </si>
  <si>
    <r>
      <t>60</t>
    </r>
    <r>
      <rPr>
        <sz val="11"/>
        <color rgb="FF000000"/>
        <rFont val="宋体"/>
        <family val="3"/>
        <charset val="134"/>
        <scheme val="minor"/>
      </rPr>
      <t>岁及以上</t>
    </r>
  </si>
  <si>
    <r>
      <t>其中：</t>
    </r>
    <r>
      <rPr>
        <sz val="11"/>
        <color rgb="FF000000"/>
        <rFont val="Times New Roman"/>
        <family val="1"/>
      </rPr>
      <t>65</t>
    </r>
    <r>
      <rPr>
        <sz val="11"/>
        <color rgb="FF000000"/>
        <rFont val="宋体"/>
        <family val="3"/>
        <charset val="134"/>
        <scheme val="minor"/>
      </rPr>
      <t>岁及以上</t>
    </r>
  </si>
  <si>
    <r>
      <t>表</t>
    </r>
    <r>
      <rPr>
        <b/>
        <sz val="12"/>
        <color rgb="FF333333"/>
        <rFont val="Times New Roman"/>
        <family val="1"/>
      </rPr>
      <t>5-2</t>
    </r>
    <r>
      <rPr>
        <b/>
        <sz val="12"/>
        <color rgb="FF333333"/>
        <rFont val="宋体"/>
        <family val="3"/>
        <charset val="134"/>
        <scheme val="minor"/>
      </rPr>
      <t>　各地区人口年龄构成</t>
    </r>
  </si>
  <si>
    <r>
      <t>表</t>
    </r>
    <r>
      <rPr>
        <b/>
        <sz val="12"/>
        <color rgb="FF333333"/>
        <rFont val="Times New Roman"/>
        <family val="1"/>
      </rPr>
      <t>6-1 </t>
    </r>
    <r>
      <rPr>
        <b/>
        <sz val="12"/>
        <color rgb="FF333333"/>
        <rFont val="宋体"/>
        <family val="3"/>
        <charset val="134"/>
        <scheme val="minor"/>
      </rPr>
      <t>各地区每</t>
    </r>
    <r>
      <rPr>
        <b/>
        <sz val="12"/>
        <color rgb="FF333333"/>
        <rFont val="Times New Roman"/>
        <family val="1"/>
      </rPr>
      <t>10</t>
    </r>
    <r>
      <rPr>
        <b/>
        <sz val="12"/>
        <color rgb="FF333333"/>
        <rFont val="宋体"/>
        <family val="3"/>
        <charset val="134"/>
        <scheme val="minor"/>
      </rPr>
      <t>万人口中拥有的各类受教育程度人数</t>
    </r>
  </si>
  <si>
    <r>
      <t>　　　　　　　　　　　　　　　　　　　　　　　　　　　　　　　　　　　　　　　　　　　</t>
    </r>
    <r>
      <rPr>
        <sz val="9"/>
        <color rgb="FF333333"/>
        <rFont val="宋体"/>
        <family val="3"/>
        <charset val="134"/>
        <scheme val="minor"/>
      </rPr>
      <t>单位：人</t>
    </r>
    <r>
      <rPr>
        <sz val="9"/>
        <color rgb="FF333333"/>
        <rFont val="Times New Roman"/>
        <family val="1"/>
      </rPr>
      <t>/10</t>
    </r>
    <r>
      <rPr>
        <sz val="9"/>
        <color rgb="FF333333"/>
        <rFont val="宋体"/>
        <family val="3"/>
        <charset val="134"/>
        <scheme val="minor"/>
      </rPr>
      <t>万人</t>
    </r>
  </si>
  <si>
    <t>大学</t>
  </si>
  <si>
    <t>（大专及以上）</t>
  </si>
  <si>
    <t>高中</t>
  </si>
  <si>
    <t>（含中专）</t>
  </si>
  <si>
    <t>初中</t>
  </si>
  <si>
    <t>小学</t>
  </si>
  <si>
    <r>
      <t>表</t>
    </r>
    <r>
      <rPr>
        <b/>
        <sz val="12"/>
        <color rgb="FF333333"/>
        <rFont val="Times New Roman"/>
        <family val="1"/>
      </rPr>
      <t>6-2 </t>
    </r>
    <r>
      <rPr>
        <b/>
        <sz val="12"/>
        <color rgb="FF333333"/>
        <rFont val="宋体"/>
        <family val="3"/>
        <charset val="134"/>
        <scheme val="minor"/>
      </rPr>
      <t>各地区</t>
    </r>
    <r>
      <rPr>
        <b/>
        <sz val="12"/>
        <color rgb="FF333333"/>
        <rFont val="Times New Roman"/>
        <family val="1"/>
      </rPr>
      <t>15</t>
    </r>
    <r>
      <rPr>
        <b/>
        <sz val="12"/>
        <color rgb="FF333333"/>
        <rFont val="宋体"/>
        <family val="3"/>
        <charset val="134"/>
        <scheme val="minor"/>
      </rPr>
      <t>岁及以上人口平均受教育年限</t>
    </r>
  </si>
  <si>
    <r>
      <t>　　　　　　　　　　　　　　　　　　　　　　　　　　　　　　　　　　　　　　　　　　　　　</t>
    </r>
    <r>
      <rPr>
        <sz val="9"/>
        <color rgb="FF333333"/>
        <rFont val="宋体"/>
        <family val="3"/>
        <charset val="134"/>
        <scheme val="minor"/>
      </rPr>
      <t>单位：年</t>
    </r>
  </si>
  <si>
    <r>
      <t>2020</t>
    </r>
    <r>
      <rPr>
        <sz val="11"/>
        <color rgb="FF000000"/>
        <rFont val="宋体"/>
        <family val="3"/>
        <charset val="134"/>
        <scheme val="minor"/>
      </rPr>
      <t>年</t>
    </r>
  </si>
  <si>
    <r>
      <t>2010</t>
    </r>
    <r>
      <rPr>
        <sz val="11"/>
        <color rgb="FF000000"/>
        <rFont val="宋体"/>
        <family val="3"/>
        <charset val="134"/>
        <scheme val="minor"/>
      </rPr>
      <t>年</t>
    </r>
  </si>
  <si>
    <t>女性人口数</t>
    <phoneticPr fontId="14" type="noConversion"/>
  </si>
  <si>
    <t>育龄妇女数</t>
    <phoneticPr fontId="14" type="noConversion"/>
  </si>
  <si>
    <t>根据历年出生数据计算的人口(假设死亡率为零）</t>
    <phoneticPr fontId="14" type="noConversion"/>
  </si>
  <si>
    <t>漏报人口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</si>
</sst>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_ * #,##0_ ;_ * \-#,##0_ ;_ * &quot;-&quot;??_ ;_ @_ "/>
  </numFmts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color rgb="FF333333"/>
      <name val="宋体"/>
      <family val="3"/>
      <charset val="134"/>
      <scheme val="minor"/>
    </font>
    <font>
      <b/>
      <sz val="12"/>
      <color rgb="FF333333"/>
      <name val="宋体"/>
      <family val="3"/>
      <charset val="134"/>
      <scheme val="minor"/>
    </font>
    <font>
      <b/>
      <sz val="12"/>
      <color rgb="FF333333"/>
      <name val="Times New Roman"/>
      <family val="1"/>
    </font>
    <font>
      <sz val="12"/>
      <color rgb="FF333333"/>
      <name val="Times New Roman"/>
      <family val="1"/>
    </font>
    <font>
      <sz val="12"/>
      <color rgb="FF333333"/>
      <name val="宋体"/>
      <family val="3"/>
      <charset val="134"/>
      <scheme val="minor"/>
    </font>
    <font>
      <sz val="9"/>
      <color rgb="FF333333"/>
      <name val="Times New Roman"/>
      <family val="1"/>
    </font>
    <font>
      <sz val="11"/>
      <color theme="1"/>
      <name val="宋体"/>
      <family val="3"/>
      <charset val="134"/>
      <scheme val="minor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宋体"/>
      <family val="3"/>
      <charset val="134"/>
      <scheme val="minor"/>
    </font>
    <font>
      <b/>
      <vertAlign val="super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vertAlign val="superscript"/>
      <sz val="12"/>
      <color rgb="FF333333"/>
      <name val="Times New Roman"/>
      <family val="1"/>
    </font>
    <font>
      <sz val="11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176" fontId="13" fillId="0" borderId="0" xfId="1" applyNumberFormat="1" applyFont="1" applyAlignment="1">
      <alignment horizontal="right" vertical="center" wrapText="1"/>
    </xf>
    <xf numFmtId="176" fontId="10" fillId="0" borderId="0" xfId="1" applyNumberFormat="1" applyFont="1" applyAlignment="1">
      <alignment horizontal="right" vertical="center" wrapText="1"/>
    </xf>
    <xf numFmtId="176" fontId="0" fillId="0" borderId="0" xfId="1" applyNumberFormat="1" applyFont="1">
      <alignment vertical="center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17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right" wrapText="1"/>
    </xf>
    <xf numFmtId="0" fontId="8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176" fontId="13" fillId="0" borderId="0" xfId="1" applyNumberFormat="1" applyFont="1" applyAlignment="1">
      <alignment horizontal="right" wrapText="1"/>
    </xf>
    <xf numFmtId="176" fontId="19" fillId="0" borderId="0" xfId="1" applyNumberFormat="1" applyFont="1" applyAlignment="1">
      <alignment horizontal="right" wrapText="1"/>
    </xf>
    <xf numFmtId="0" fontId="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16" fillId="0" borderId="8" xfId="0" applyFont="1" applyBorder="1" applyAlignment="1">
      <alignment horizontal="center" vertical="center" wrapText="1"/>
    </xf>
    <xf numFmtId="0" fontId="19" fillId="0" borderId="0" xfId="0" applyFont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43" fontId="8" fillId="0" borderId="0" xfId="0" applyNumberFormat="1" applyFont="1" applyAlignment="1">
      <alignment vertical="center" wrapText="1"/>
    </xf>
    <xf numFmtId="43" fontId="0" fillId="0" borderId="0" xfId="0" applyNumberFormat="1">
      <alignment vertic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801-&#20154;&#21475;&#32467;&#26500;&#25353;&#24180;&#40836;&#21644;&#24615;&#21035;&#27604;&#20363;(&#241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育龄妇女TFR"/>
      <sheetName val="分年龄阶段人口"/>
      <sheetName val="original"/>
      <sheetName val="出生人口"/>
    </sheetNames>
    <sheetDataSet>
      <sheetData sheetId="0" refreshError="1"/>
      <sheetData sheetId="1">
        <row r="18">
          <cell r="E18">
            <v>7154.2555000000011</v>
          </cell>
          <cell r="F18">
            <v>7882.2814999999991</v>
          </cell>
          <cell r="G18">
            <v>10486.374500000002</v>
          </cell>
          <cell r="H18">
            <v>12054.430499999999</v>
          </cell>
          <cell r="I18">
            <v>9968.3559999999998</v>
          </cell>
          <cell r="J18">
            <v>9884.3529999999992</v>
          </cell>
          <cell r="K18">
            <v>12264.438</v>
          </cell>
          <cell r="AS18">
            <v>3276.1169999999997</v>
          </cell>
          <cell r="AT18">
            <v>3682.1315</v>
          </cell>
          <cell r="AU18">
            <v>5068.1810000000005</v>
          </cell>
          <cell r="AV18">
            <v>5992.2140000000009</v>
          </cell>
          <cell r="AW18">
            <v>4928.1760000000004</v>
          </cell>
          <cell r="AX18">
            <v>4844.1729999999998</v>
          </cell>
          <cell r="AY18">
            <v>6020.2149999999992</v>
          </cell>
          <cell r="AZ18">
            <v>5908.2109999999993</v>
          </cell>
          <cell r="BA18">
            <v>4732.1689999999999</v>
          </cell>
        </row>
      </sheetData>
      <sheetData sheetId="2" refreshError="1"/>
      <sheetData sheetId="3">
        <row r="61">
          <cell r="B61">
            <v>1584</v>
          </cell>
        </row>
        <row r="62">
          <cell r="B62">
            <v>1594</v>
          </cell>
        </row>
        <row r="63">
          <cell r="B63">
            <v>1608</v>
          </cell>
        </row>
        <row r="64">
          <cell r="B64">
            <v>1615</v>
          </cell>
        </row>
        <row r="65">
          <cell r="B65">
            <v>1588</v>
          </cell>
        </row>
        <row r="66">
          <cell r="B66">
            <v>1604</v>
          </cell>
        </row>
        <row r="67">
          <cell r="B67">
            <v>1635</v>
          </cell>
        </row>
        <row r="68">
          <cell r="B68">
            <v>1640</v>
          </cell>
        </row>
        <row r="69">
          <cell r="B69">
            <v>1687</v>
          </cell>
        </row>
        <row r="70">
          <cell r="B70">
            <v>1655</v>
          </cell>
        </row>
        <row r="71">
          <cell r="B71">
            <v>1786</v>
          </cell>
        </row>
        <row r="72">
          <cell r="B72">
            <v>1723</v>
          </cell>
        </row>
        <row r="73">
          <cell r="B73">
            <v>1523</v>
          </cell>
        </row>
        <row r="74">
          <cell r="B74">
            <v>1465</v>
          </cell>
        </row>
        <row r="75">
          <cell r="B75">
            <v>1440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C13"/>
  <sheetViews>
    <sheetView topLeftCell="A6" workbookViewId="0">
      <selection activeCell="C22" sqref="C22"/>
    </sheetView>
  </sheetViews>
  <sheetFormatPr defaultRowHeight="13.5" x14ac:dyDescent="0.15"/>
  <cols>
    <col min="2" max="2" width="32.25" customWidth="1"/>
    <col min="3" max="3" width="20.5" bestFit="1" customWidth="1"/>
  </cols>
  <sheetData>
    <row r="5" spans="2:3" ht="18.75" x14ac:dyDescent="0.15">
      <c r="B5" s="3" t="s">
        <v>40</v>
      </c>
      <c r="C5" s="11">
        <v>1443497378</v>
      </c>
    </row>
    <row r="6" spans="2:3" ht="15.75" x14ac:dyDescent="0.15">
      <c r="B6" s="2"/>
      <c r="C6" s="11"/>
    </row>
    <row r="7" spans="2:3" ht="44.25" x14ac:dyDescent="0.15">
      <c r="B7" s="3" t="s">
        <v>41</v>
      </c>
      <c r="C7" s="11">
        <v>1411778724</v>
      </c>
    </row>
    <row r="8" spans="2:3" ht="15.75" x14ac:dyDescent="0.15">
      <c r="B8" s="2"/>
      <c r="C8" s="11"/>
    </row>
    <row r="9" spans="2:3" ht="18.75" x14ac:dyDescent="0.15">
      <c r="B9" s="3" t="s">
        <v>42</v>
      </c>
      <c r="C9" s="11">
        <v>7474200</v>
      </c>
    </row>
    <row r="10" spans="2:3" ht="15.75" x14ac:dyDescent="0.15">
      <c r="B10" s="2"/>
      <c r="C10" s="11"/>
    </row>
    <row r="11" spans="2:3" ht="18.75" x14ac:dyDescent="0.15">
      <c r="B11" s="3" t="s">
        <v>43</v>
      </c>
      <c r="C11" s="11">
        <v>683218</v>
      </c>
    </row>
    <row r="12" spans="2:3" ht="15.75" x14ac:dyDescent="0.15">
      <c r="B12" s="2"/>
      <c r="C12" s="11"/>
    </row>
    <row r="13" spans="2:3" ht="18.75" x14ac:dyDescent="0.15">
      <c r="B13" s="3" t="s">
        <v>44</v>
      </c>
      <c r="C13" s="11">
        <v>23561236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E41"/>
  <sheetViews>
    <sheetView workbookViewId="0">
      <selection activeCell="D14" sqref="D14"/>
    </sheetView>
  </sheetViews>
  <sheetFormatPr defaultRowHeight="13.5" x14ac:dyDescent="0.15"/>
  <cols>
    <col min="2" max="5" width="16.875" customWidth="1"/>
  </cols>
  <sheetData>
    <row r="3" spans="2:5" ht="44.25" customHeight="1" x14ac:dyDescent="0.15">
      <c r="B3" s="36" t="s">
        <v>0</v>
      </c>
      <c r="C3" s="36"/>
      <c r="D3" s="36"/>
      <c r="E3" s="36"/>
    </row>
    <row r="4" spans="2:5" ht="15.75" x14ac:dyDescent="0.15">
      <c r="B4" s="2"/>
    </row>
    <row r="5" spans="2:5" ht="27" thickBot="1" x14ac:dyDescent="0.2">
      <c r="B5" s="3" t="s">
        <v>1</v>
      </c>
    </row>
    <row r="6" spans="2:5" ht="18" customHeight="1" thickTop="1" thickBot="1" x14ac:dyDescent="0.2">
      <c r="B6" s="30" t="s">
        <v>2</v>
      </c>
      <c r="C6" s="32" t="s">
        <v>3</v>
      </c>
      <c r="D6" s="34" t="s">
        <v>4</v>
      </c>
      <c r="E6" s="35"/>
    </row>
    <row r="7" spans="2:5" ht="15.75" thickBot="1" x14ac:dyDescent="0.2">
      <c r="B7" s="31"/>
      <c r="C7" s="33"/>
      <c r="D7" s="5" t="s">
        <v>5</v>
      </c>
      <c r="E7" s="5" t="s">
        <v>6</v>
      </c>
    </row>
    <row r="8" spans="2:5" ht="16.5" x14ac:dyDescent="0.15">
      <c r="B8" s="6" t="s">
        <v>7</v>
      </c>
      <c r="C8" s="9">
        <v>1411778724</v>
      </c>
      <c r="D8" s="7">
        <v>100</v>
      </c>
      <c r="E8" s="7">
        <v>100</v>
      </c>
    </row>
    <row r="9" spans="2:5" ht="15" x14ac:dyDescent="0.15">
      <c r="B9" s="4" t="s">
        <v>8</v>
      </c>
      <c r="C9" s="10">
        <v>21893095</v>
      </c>
      <c r="D9" s="8">
        <v>1.55</v>
      </c>
      <c r="E9" s="8">
        <v>1.46</v>
      </c>
    </row>
    <row r="10" spans="2:5" ht="15" x14ac:dyDescent="0.15">
      <c r="B10" s="4" t="s">
        <v>9</v>
      </c>
      <c r="C10" s="10">
        <v>13866009</v>
      </c>
      <c r="D10" s="8">
        <v>0.98</v>
      </c>
      <c r="E10" s="8">
        <v>0.97</v>
      </c>
    </row>
    <row r="11" spans="2:5" ht="15" x14ac:dyDescent="0.15">
      <c r="B11" s="4" t="s">
        <v>10</v>
      </c>
      <c r="C11" s="10">
        <v>74610235</v>
      </c>
      <c r="D11" s="8">
        <v>5.28</v>
      </c>
      <c r="E11" s="8">
        <v>5.36</v>
      </c>
    </row>
    <row r="12" spans="2:5" ht="15" x14ac:dyDescent="0.15">
      <c r="B12" s="4" t="s">
        <v>11</v>
      </c>
      <c r="C12" s="10">
        <v>34915616</v>
      </c>
      <c r="D12" s="8">
        <v>2.4700000000000002</v>
      </c>
      <c r="E12" s="8">
        <v>2.67</v>
      </c>
    </row>
    <row r="13" spans="2:5" ht="15" x14ac:dyDescent="0.15">
      <c r="B13" s="4" t="s">
        <v>12</v>
      </c>
      <c r="C13" s="10">
        <v>24049155</v>
      </c>
      <c r="D13" s="8">
        <v>1.7</v>
      </c>
      <c r="E13" s="8">
        <v>1.84</v>
      </c>
    </row>
    <row r="14" spans="2:5" ht="15" x14ac:dyDescent="0.15">
      <c r="B14" s="4" t="s">
        <v>13</v>
      </c>
      <c r="C14" s="10">
        <v>42591407</v>
      </c>
      <c r="D14" s="8">
        <v>3.02</v>
      </c>
      <c r="E14" s="8">
        <v>3.27</v>
      </c>
    </row>
    <row r="15" spans="2:5" ht="15" x14ac:dyDescent="0.15">
      <c r="B15" s="4" t="s">
        <v>14</v>
      </c>
      <c r="C15" s="10">
        <v>24073453</v>
      </c>
      <c r="D15" s="8">
        <v>1.71</v>
      </c>
      <c r="E15" s="8">
        <v>2.0499999999999998</v>
      </c>
    </row>
    <row r="16" spans="2:5" ht="15" x14ac:dyDescent="0.15">
      <c r="B16" s="4" t="s">
        <v>15</v>
      </c>
      <c r="C16" s="10">
        <v>31850088</v>
      </c>
      <c r="D16" s="8">
        <v>2.2599999999999998</v>
      </c>
      <c r="E16" s="8">
        <v>2.86</v>
      </c>
    </row>
    <row r="17" spans="2:5" ht="15" x14ac:dyDescent="0.15">
      <c r="B17" s="4" t="s">
        <v>16</v>
      </c>
      <c r="C17" s="10">
        <v>24870895</v>
      </c>
      <c r="D17" s="8">
        <v>1.76</v>
      </c>
      <c r="E17" s="8">
        <v>1.72</v>
      </c>
    </row>
    <row r="18" spans="2:5" ht="15" x14ac:dyDescent="0.15">
      <c r="B18" s="4" t="s">
        <v>17</v>
      </c>
      <c r="C18" s="10">
        <v>84748016</v>
      </c>
      <c r="D18" s="8">
        <v>6</v>
      </c>
      <c r="E18" s="8">
        <v>5.87</v>
      </c>
    </row>
    <row r="19" spans="2:5" ht="15" x14ac:dyDescent="0.15">
      <c r="B19" s="4" t="s">
        <v>18</v>
      </c>
      <c r="C19" s="10">
        <v>64567588</v>
      </c>
      <c r="D19" s="8">
        <v>4.57</v>
      </c>
      <c r="E19" s="8">
        <v>4.0599999999999996</v>
      </c>
    </row>
    <row r="20" spans="2:5" ht="15" x14ac:dyDescent="0.15">
      <c r="B20" s="4" t="s">
        <v>19</v>
      </c>
      <c r="C20" s="10">
        <v>61027171</v>
      </c>
      <c r="D20" s="8">
        <v>4.32</v>
      </c>
      <c r="E20" s="8">
        <v>4.4400000000000004</v>
      </c>
    </row>
    <row r="21" spans="2:5" ht="15" x14ac:dyDescent="0.15">
      <c r="B21" s="4" t="s">
        <v>20</v>
      </c>
      <c r="C21" s="10">
        <v>41540086</v>
      </c>
      <c r="D21" s="8">
        <v>2.94</v>
      </c>
      <c r="E21" s="8">
        <v>2.75</v>
      </c>
    </row>
    <row r="22" spans="2:5" ht="15" x14ac:dyDescent="0.15">
      <c r="B22" s="4" t="s">
        <v>21</v>
      </c>
      <c r="C22" s="10">
        <v>45188635</v>
      </c>
      <c r="D22" s="8">
        <v>3.2</v>
      </c>
      <c r="E22" s="8">
        <v>3.33</v>
      </c>
    </row>
    <row r="23" spans="2:5" ht="15" x14ac:dyDescent="0.15">
      <c r="B23" s="4" t="s">
        <v>22</v>
      </c>
      <c r="C23" s="10">
        <v>101527453</v>
      </c>
      <c r="D23" s="8">
        <v>7.19</v>
      </c>
      <c r="E23" s="8">
        <v>7.15</v>
      </c>
    </row>
    <row r="24" spans="2:5" ht="15" x14ac:dyDescent="0.15">
      <c r="B24" s="4" t="s">
        <v>23</v>
      </c>
      <c r="C24" s="10">
        <v>99365519</v>
      </c>
      <c r="D24" s="8">
        <v>7.04</v>
      </c>
      <c r="E24" s="8">
        <v>7.02</v>
      </c>
    </row>
    <row r="25" spans="2:5" ht="15" x14ac:dyDescent="0.15">
      <c r="B25" s="4" t="s">
        <v>24</v>
      </c>
      <c r="C25" s="10">
        <v>57752557</v>
      </c>
      <c r="D25" s="8">
        <v>4.09</v>
      </c>
      <c r="E25" s="8">
        <v>4.2699999999999996</v>
      </c>
    </row>
    <row r="26" spans="2:5" ht="15" x14ac:dyDescent="0.15">
      <c r="B26" s="4" t="s">
        <v>25</v>
      </c>
      <c r="C26" s="10">
        <v>66444864</v>
      </c>
      <c r="D26" s="8">
        <v>4.71</v>
      </c>
      <c r="E26" s="8">
        <v>4.9000000000000004</v>
      </c>
    </row>
    <row r="27" spans="2:5" ht="15" x14ac:dyDescent="0.15">
      <c r="B27" s="4" t="s">
        <v>26</v>
      </c>
      <c r="C27" s="10">
        <v>126012510</v>
      </c>
      <c r="D27" s="8">
        <v>8.93</v>
      </c>
      <c r="E27" s="8">
        <v>7.79</v>
      </c>
    </row>
    <row r="28" spans="2:5" ht="15" x14ac:dyDescent="0.15">
      <c r="B28" s="4" t="s">
        <v>27</v>
      </c>
      <c r="C28" s="10">
        <v>50126804</v>
      </c>
      <c r="D28" s="8">
        <v>3.55</v>
      </c>
      <c r="E28" s="8">
        <v>3.44</v>
      </c>
    </row>
    <row r="29" spans="2:5" ht="15" x14ac:dyDescent="0.15">
      <c r="B29" s="4" t="s">
        <v>28</v>
      </c>
      <c r="C29" s="10">
        <v>10081232</v>
      </c>
      <c r="D29" s="8">
        <v>0.71</v>
      </c>
      <c r="E29" s="8">
        <v>0.65</v>
      </c>
    </row>
    <row r="30" spans="2:5" ht="15" x14ac:dyDescent="0.15">
      <c r="B30" s="4" t="s">
        <v>29</v>
      </c>
      <c r="C30" s="10">
        <v>32054159</v>
      </c>
      <c r="D30" s="8">
        <v>2.27</v>
      </c>
      <c r="E30" s="8">
        <v>2.15</v>
      </c>
    </row>
    <row r="31" spans="2:5" ht="15" x14ac:dyDescent="0.15">
      <c r="B31" s="4" t="s">
        <v>30</v>
      </c>
      <c r="C31" s="10">
        <v>83674866</v>
      </c>
      <c r="D31" s="8">
        <v>5.93</v>
      </c>
      <c r="E31" s="8">
        <v>6</v>
      </c>
    </row>
    <row r="32" spans="2:5" ht="15" x14ac:dyDescent="0.15">
      <c r="B32" s="4" t="s">
        <v>31</v>
      </c>
      <c r="C32" s="10">
        <v>38562148</v>
      </c>
      <c r="D32" s="8">
        <v>2.73</v>
      </c>
      <c r="E32" s="8">
        <v>2.59</v>
      </c>
    </row>
    <row r="33" spans="2:5" ht="15" x14ac:dyDescent="0.15">
      <c r="B33" s="4" t="s">
        <v>32</v>
      </c>
      <c r="C33" s="10">
        <v>47209277</v>
      </c>
      <c r="D33" s="8">
        <v>3.34</v>
      </c>
      <c r="E33" s="8">
        <v>3.43</v>
      </c>
    </row>
    <row r="34" spans="2:5" ht="15" x14ac:dyDescent="0.15">
      <c r="B34" s="4" t="s">
        <v>33</v>
      </c>
      <c r="C34" s="10">
        <v>3648100</v>
      </c>
      <c r="D34" s="8">
        <v>0.26</v>
      </c>
      <c r="E34" s="8">
        <v>0.22</v>
      </c>
    </row>
    <row r="35" spans="2:5" ht="15" x14ac:dyDescent="0.15">
      <c r="B35" s="4" t="s">
        <v>34</v>
      </c>
      <c r="C35" s="10">
        <v>39528999</v>
      </c>
      <c r="D35" s="8">
        <v>2.8</v>
      </c>
      <c r="E35" s="8">
        <v>2.79</v>
      </c>
    </row>
    <row r="36" spans="2:5" ht="15" x14ac:dyDescent="0.15">
      <c r="B36" s="4" t="s">
        <v>35</v>
      </c>
      <c r="C36" s="10">
        <v>25019831</v>
      </c>
      <c r="D36" s="8">
        <v>1.77</v>
      </c>
      <c r="E36" s="8">
        <v>1.91</v>
      </c>
    </row>
    <row r="37" spans="2:5" ht="15" x14ac:dyDescent="0.15">
      <c r="B37" s="4" t="s">
        <v>36</v>
      </c>
      <c r="C37" s="10">
        <v>5923957</v>
      </c>
      <c r="D37" s="8">
        <v>0.42</v>
      </c>
      <c r="E37" s="8">
        <v>0.42</v>
      </c>
    </row>
    <row r="38" spans="2:5" ht="15" x14ac:dyDescent="0.15">
      <c r="B38" s="4" t="s">
        <v>37</v>
      </c>
      <c r="C38" s="10">
        <v>7202654</v>
      </c>
      <c r="D38" s="8">
        <v>0.51</v>
      </c>
      <c r="E38" s="8">
        <v>0.47</v>
      </c>
    </row>
    <row r="39" spans="2:5" ht="15" x14ac:dyDescent="0.15">
      <c r="B39" s="4" t="s">
        <v>38</v>
      </c>
      <c r="C39" s="10">
        <v>25852345</v>
      </c>
      <c r="D39" s="8">
        <v>1.83</v>
      </c>
      <c r="E39" s="8">
        <v>1.63</v>
      </c>
    </row>
    <row r="40" spans="2:5" ht="15" x14ac:dyDescent="0.15">
      <c r="B40" s="4" t="s">
        <v>39</v>
      </c>
      <c r="C40" s="10">
        <v>2000000</v>
      </c>
      <c r="D40" s="8"/>
      <c r="E40" s="8"/>
    </row>
    <row r="41" spans="2:5" ht="15.75" x14ac:dyDescent="0.15">
      <c r="B41" s="2"/>
    </row>
  </sheetData>
  <mergeCells count="4">
    <mergeCell ref="B6:B7"/>
    <mergeCell ref="C6:C7"/>
    <mergeCell ref="D6:E6"/>
    <mergeCell ref="B3:E3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48"/>
  <sheetViews>
    <sheetView topLeftCell="A7" zoomScale="70" zoomScaleNormal="70" workbookViewId="0">
      <selection activeCell="G23" sqref="G23"/>
    </sheetView>
  </sheetViews>
  <sheetFormatPr defaultRowHeight="13.5" x14ac:dyDescent="0.15"/>
  <cols>
    <col min="3" max="3" width="15" bestFit="1" customWidth="1"/>
  </cols>
  <sheetData>
    <row r="3" spans="2:10" ht="14.25" x14ac:dyDescent="0.15">
      <c r="B3" s="38" t="s">
        <v>45</v>
      </c>
      <c r="C3" s="38"/>
      <c r="D3" s="38"/>
      <c r="E3" s="38"/>
      <c r="F3" s="38"/>
      <c r="G3" s="38"/>
      <c r="H3" s="38"/>
      <c r="I3" s="38"/>
      <c r="J3" s="38"/>
    </row>
    <row r="4" spans="2:10" ht="15.75" x14ac:dyDescent="0.15">
      <c r="B4" s="2"/>
    </row>
    <row r="5" spans="2:10" ht="57" customHeight="1" x14ac:dyDescent="0.15">
      <c r="B5" s="37" t="s">
        <v>46</v>
      </c>
      <c r="C5" s="37"/>
      <c r="D5" s="37"/>
      <c r="E5" s="37"/>
      <c r="F5" s="37"/>
      <c r="G5" s="37"/>
      <c r="H5" s="37"/>
      <c r="I5" s="37"/>
      <c r="J5" s="37"/>
    </row>
    <row r="7" spans="2:10" x14ac:dyDescent="0.15">
      <c r="B7" t="s">
        <v>48</v>
      </c>
      <c r="C7" s="11">
        <v>723339956</v>
      </c>
    </row>
    <row r="8" spans="2:10" x14ac:dyDescent="0.15">
      <c r="B8" t="s">
        <v>50</v>
      </c>
      <c r="C8" s="11">
        <v>688438768</v>
      </c>
    </row>
    <row r="11" spans="2:10" ht="14.25" x14ac:dyDescent="0.15">
      <c r="B11" s="36" t="s">
        <v>51</v>
      </c>
      <c r="C11" s="36"/>
      <c r="D11" s="36"/>
      <c r="E11" s="36"/>
      <c r="F11" s="36"/>
      <c r="G11" s="36"/>
    </row>
    <row r="12" spans="2:10" ht="15.75" x14ac:dyDescent="0.15">
      <c r="B12" s="2"/>
    </row>
    <row r="13" spans="2:10" ht="27" thickBot="1" x14ac:dyDescent="0.2">
      <c r="B13" s="3" t="s">
        <v>52</v>
      </c>
    </row>
    <row r="14" spans="2:10" ht="15" thickTop="1" thickBot="1" x14ac:dyDescent="0.2">
      <c r="B14" s="39" t="s">
        <v>2</v>
      </c>
      <c r="C14" s="41" t="s">
        <v>53</v>
      </c>
      <c r="D14" s="42"/>
      <c r="E14" s="43" t="s">
        <v>54</v>
      </c>
    </row>
    <row r="15" spans="2:10" ht="14.25" thickBot="1" x14ac:dyDescent="0.2">
      <c r="B15" s="40"/>
      <c r="C15" s="12" t="s">
        <v>47</v>
      </c>
      <c r="D15" s="12" t="s">
        <v>49</v>
      </c>
      <c r="E15" s="44"/>
    </row>
    <row r="16" spans="2:10" ht="14.25" x14ac:dyDescent="0.2">
      <c r="B16" s="15" t="s">
        <v>55</v>
      </c>
      <c r="C16" s="16">
        <v>51.24</v>
      </c>
      <c r="D16" s="16">
        <v>48.76</v>
      </c>
      <c r="E16" s="16">
        <v>105.07</v>
      </c>
    </row>
    <row r="17" spans="2:5" ht="15" x14ac:dyDescent="0.25">
      <c r="B17" s="14" t="s">
        <v>8</v>
      </c>
      <c r="C17" s="17">
        <v>51.14</v>
      </c>
      <c r="D17" s="17">
        <v>48.86</v>
      </c>
      <c r="E17" s="17">
        <v>104.65</v>
      </c>
    </row>
    <row r="18" spans="2:5" ht="15" x14ac:dyDescent="0.25">
      <c r="B18" s="14" t="s">
        <v>9</v>
      </c>
      <c r="C18" s="17">
        <v>51.53</v>
      </c>
      <c r="D18" s="17">
        <v>48.47</v>
      </c>
      <c r="E18" s="17">
        <v>106.31</v>
      </c>
    </row>
    <row r="19" spans="2:5" ht="15" x14ac:dyDescent="0.25">
      <c r="B19" s="14" t="s">
        <v>10</v>
      </c>
      <c r="C19" s="17">
        <v>50.5</v>
      </c>
      <c r="D19" s="17">
        <v>49.5</v>
      </c>
      <c r="E19" s="17">
        <v>102.02</v>
      </c>
    </row>
    <row r="20" spans="2:5" ht="15" x14ac:dyDescent="0.25">
      <c r="B20" s="14" t="s">
        <v>11</v>
      </c>
      <c r="C20" s="17">
        <v>50.99</v>
      </c>
      <c r="D20" s="17">
        <v>49.01</v>
      </c>
      <c r="E20" s="17">
        <v>104.06</v>
      </c>
    </row>
    <row r="21" spans="2:5" ht="15" x14ac:dyDescent="0.25">
      <c r="B21" s="14" t="s">
        <v>12</v>
      </c>
      <c r="C21" s="17">
        <v>51.04</v>
      </c>
      <c r="D21" s="17">
        <v>48.96</v>
      </c>
      <c r="E21" s="17">
        <v>104.26</v>
      </c>
    </row>
    <row r="22" spans="2:5" ht="15" x14ac:dyDescent="0.25">
      <c r="B22" s="14" t="s">
        <v>13</v>
      </c>
      <c r="C22" s="17">
        <v>49.92</v>
      </c>
      <c r="D22" s="17">
        <v>50.08</v>
      </c>
      <c r="E22" s="17">
        <v>99.7</v>
      </c>
    </row>
    <row r="23" spans="2:5" ht="15" x14ac:dyDescent="0.25">
      <c r="B23" s="14" t="s">
        <v>14</v>
      </c>
      <c r="C23" s="17">
        <v>49.92</v>
      </c>
      <c r="D23" s="17">
        <v>50.08</v>
      </c>
      <c r="E23" s="17">
        <v>99.69</v>
      </c>
    </row>
    <row r="24" spans="2:5" ht="15" x14ac:dyDescent="0.25">
      <c r="B24" s="14" t="s">
        <v>15</v>
      </c>
      <c r="C24" s="17">
        <v>50.09</v>
      </c>
      <c r="D24" s="17">
        <v>49.91</v>
      </c>
      <c r="E24" s="17">
        <v>100.35</v>
      </c>
    </row>
    <row r="25" spans="2:5" ht="15" x14ac:dyDescent="0.25">
      <c r="B25" s="14" t="s">
        <v>16</v>
      </c>
      <c r="C25" s="17">
        <v>51.77</v>
      </c>
      <c r="D25" s="17">
        <v>48.23</v>
      </c>
      <c r="E25" s="17">
        <v>107.33</v>
      </c>
    </row>
    <row r="26" spans="2:5" ht="15" x14ac:dyDescent="0.25">
      <c r="B26" s="14" t="s">
        <v>17</v>
      </c>
      <c r="C26" s="17">
        <v>50.78</v>
      </c>
      <c r="D26" s="17">
        <v>49.22</v>
      </c>
      <c r="E26" s="17">
        <v>103.15</v>
      </c>
    </row>
    <row r="27" spans="2:5" ht="15" x14ac:dyDescent="0.25">
      <c r="B27" s="14" t="s">
        <v>18</v>
      </c>
      <c r="C27" s="17">
        <v>52.16</v>
      </c>
      <c r="D27" s="17">
        <v>47.84</v>
      </c>
      <c r="E27" s="17">
        <v>109.04</v>
      </c>
    </row>
    <row r="28" spans="2:5" ht="15" x14ac:dyDescent="0.25">
      <c r="B28" s="14" t="s">
        <v>19</v>
      </c>
      <c r="C28" s="17">
        <v>50.97</v>
      </c>
      <c r="D28" s="17">
        <v>49.03</v>
      </c>
      <c r="E28" s="17">
        <v>103.94</v>
      </c>
    </row>
    <row r="29" spans="2:5" ht="15" x14ac:dyDescent="0.25">
      <c r="B29" s="14" t="s">
        <v>20</v>
      </c>
      <c r="C29" s="17">
        <v>51.68</v>
      </c>
      <c r="D29" s="17">
        <v>48.32</v>
      </c>
      <c r="E29" s="17">
        <v>106.94</v>
      </c>
    </row>
    <row r="30" spans="2:5" ht="15" x14ac:dyDescent="0.25">
      <c r="B30" s="14" t="s">
        <v>21</v>
      </c>
      <c r="C30" s="17">
        <v>51.6</v>
      </c>
      <c r="D30" s="17">
        <v>48.4</v>
      </c>
      <c r="E30" s="17">
        <v>106.62</v>
      </c>
    </row>
    <row r="31" spans="2:5" ht="15" x14ac:dyDescent="0.25">
      <c r="B31" s="14" t="s">
        <v>22</v>
      </c>
      <c r="C31" s="17">
        <v>50.66</v>
      </c>
      <c r="D31" s="17">
        <v>49.34</v>
      </c>
      <c r="E31" s="17">
        <v>102.67</v>
      </c>
    </row>
    <row r="32" spans="2:5" ht="15" x14ac:dyDescent="0.25">
      <c r="B32" s="14" t="s">
        <v>23</v>
      </c>
      <c r="C32" s="17">
        <v>50.15</v>
      </c>
      <c r="D32" s="17">
        <v>49.85</v>
      </c>
      <c r="E32" s="17">
        <v>100.6</v>
      </c>
    </row>
    <row r="33" spans="2:5" ht="15" x14ac:dyDescent="0.25">
      <c r="B33" s="14" t="s">
        <v>24</v>
      </c>
      <c r="C33" s="17">
        <v>51.42</v>
      </c>
      <c r="D33" s="17">
        <v>48.58</v>
      </c>
      <c r="E33" s="17">
        <v>105.83</v>
      </c>
    </row>
    <row r="34" spans="2:5" ht="15" x14ac:dyDescent="0.25">
      <c r="B34" s="14" t="s">
        <v>25</v>
      </c>
      <c r="C34" s="17">
        <v>51.16</v>
      </c>
      <c r="D34" s="17">
        <v>48.84</v>
      </c>
      <c r="E34" s="17">
        <v>104.77</v>
      </c>
    </row>
    <row r="35" spans="2:5" ht="15" x14ac:dyDescent="0.25">
      <c r="B35" s="14" t="s">
        <v>26</v>
      </c>
      <c r="C35" s="17">
        <v>53.07</v>
      </c>
      <c r="D35" s="17">
        <v>46.93</v>
      </c>
      <c r="E35" s="17">
        <v>113.08</v>
      </c>
    </row>
    <row r="36" spans="2:5" ht="15" x14ac:dyDescent="0.25">
      <c r="B36" s="14" t="s">
        <v>27</v>
      </c>
      <c r="C36" s="17">
        <v>51.7</v>
      </c>
      <c r="D36" s="17">
        <v>48.3</v>
      </c>
      <c r="E36" s="17">
        <v>107.04</v>
      </c>
    </row>
    <row r="37" spans="2:5" ht="15" x14ac:dyDescent="0.25">
      <c r="B37" s="14" t="s">
        <v>28</v>
      </c>
      <c r="C37" s="17">
        <v>53.02</v>
      </c>
      <c r="D37" s="17">
        <v>46.98</v>
      </c>
      <c r="E37" s="17">
        <v>112.86</v>
      </c>
    </row>
    <row r="38" spans="2:5" ht="15" x14ac:dyDescent="0.25">
      <c r="B38" s="14" t="s">
        <v>29</v>
      </c>
      <c r="C38" s="17">
        <v>50.55</v>
      </c>
      <c r="D38" s="17">
        <v>49.45</v>
      </c>
      <c r="E38" s="17">
        <v>102.21</v>
      </c>
    </row>
    <row r="39" spans="2:5" ht="15" x14ac:dyDescent="0.25">
      <c r="B39" s="14" t="s">
        <v>30</v>
      </c>
      <c r="C39" s="17">
        <v>50.54</v>
      </c>
      <c r="D39" s="17">
        <v>49.46</v>
      </c>
      <c r="E39" s="17">
        <v>102.19</v>
      </c>
    </row>
    <row r="40" spans="2:5" ht="15" x14ac:dyDescent="0.25">
      <c r="B40" s="14" t="s">
        <v>31</v>
      </c>
      <c r="C40" s="17">
        <v>51.1</v>
      </c>
      <c r="D40" s="17">
        <v>48.9</v>
      </c>
      <c r="E40" s="17">
        <v>104.5</v>
      </c>
    </row>
    <row r="41" spans="2:5" ht="15" x14ac:dyDescent="0.25">
      <c r="B41" s="14" t="s">
        <v>32</v>
      </c>
      <c r="C41" s="17">
        <v>51.73</v>
      </c>
      <c r="D41" s="17">
        <v>48.27</v>
      </c>
      <c r="E41" s="17">
        <v>107.16</v>
      </c>
    </row>
    <row r="42" spans="2:5" ht="15" x14ac:dyDescent="0.25">
      <c r="B42" s="14" t="s">
        <v>33</v>
      </c>
      <c r="C42" s="17">
        <v>52.45</v>
      </c>
      <c r="D42" s="17">
        <v>47.55</v>
      </c>
      <c r="E42" s="17">
        <v>110.32</v>
      </c>
    </row>
    <row r="43" spans="2:5" ht="15" x14ac:dyDescent="0.25">
      <c r="B43" s="14" t="s">
        <v>34</v>
      </c>
      <c r="C43" s="17">
        <v>51.17</v>
      </c>
      <c r="D43" s="17">
        <v>48.83</v>
      </c>
      <c r="E43" s="17">
        <v>104.79</v>
      </c>
    </row>
    <row r="44" spans="2:5" ht="15" x14ac:dyDescent="0.25">
      <c r="B44" s="14" t="s">
        <v>35</v>
      </c>
      <c r="C44" s="17">
        <v>50.76</v>
      </c>
      <c r="D44" s="17">
        <v>49.24</v>
      </c>
      <c r="E44" s="17">
        <v>103.1</v>
      </c>
    </row>
    <row r="45" spans="2:5" ht="15" x14ac:dyDescent="0.25">
      <c r="B45" s="14" t="s">
        <v>36</v>
      </c>
      <c r="C45" s="17">
        <v>51.21</v>
      </c>
      <c r="D45" s="17">
        <v>48.79</v>
      </c>
      <c r="E45" s="17">
        <v>104.97</v>
      </c>
    </row>
    <row r="46" spans="2:5" ht="15" x14ac:dyDescent="0.25">
      <c r="B46" s="14" t="s">
        <v>37</v>
      </c>
      <c r="C46" s="17">
        <v>50.94</v>
      </c>
      <c r="D46" s="17">
        <v>49.06</v>
      </c>
      <c r="E46" s="17">
        <v>103.83</v>
      </c>
    </row>
    <row r="47" spans="2:5" ht="15" x14ac:dyDescent="0.25">
      <c r="B47" s="14" t="s">
        <v>38</v>
      </c>
      <c r="C47" s="17">
        <v>51.66</v>
      </c>
      <c r="D47" s="17">
        <v>48.34</v>
      </c>
      <c r="E47" s="17">
        <v>106.85</v>
      </c>
    </row>
    <row r="48" spans="2:5" ht="15.75" x14ac:dyDescent="0.15">
      <c r="B48" s="2"/>
    </row>
  </sheetData>
  <mergeCells count="6">
    <mergeCell ref="B5:J5"/>
    <mergeCell ref="B3:J3"/>
    <mergeCell ref="B14:B15"/>
    <mergeCell ref="C14:D14"/>
    <mergeCell ref="E14:E15"/>
    <mergeCell ref="B11:G11"/>
  </mergeCells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53"/>
  <sheetViews>
    <sheetView tabSelected="1" topLeftCell="A4" workbookViewId="0">
      <selection activeCell="G7" sqref="G7"/>
    </sheetView>
  </sheetViews>
  <sheetFormatPr defaultRowHeight="13.5" x14ac:dyDescent="0.15"/>
  <cols>
    <col min="1" max="1" width="19.75" customWidth="1"/>
    <col min="2" max="2" width="17.25" bestFit="1" customWidth="1"/>
    <col min="4" max="5" width="18.375" bestFit="1" customWidth="1"/>
    <col min="6" max="6" width="22.375" customWidth="1"/>
    <col min="7" max="7" width="13.875" bestFit="1" customWidth="1"/>
  </cols>
  <sheetData>
    <row r="2" spans="1:7" ht="58.5" customHeight="1" x14ac:dyDescent="0.15">
      <c r="A2" s="36" t="s">
        <v>56</v>
      </c>
      <c r="B2" s="36"/>
      <c r="C2" s="36"/>
    </row>
    <row r="3" spans="1:7" ht="15.75" x14ac:dyDescent="0.15">
      <c r="A3" s="2"/>
    </row>
    <row r="4" spans="1:7" ht="27" thickBot="1" x14ac:dyDescent="0.2">
      <c r="A4" s="3" t="s">
        <v>1</v>
      </c>
    </row>
    <row r="5" spans="1:7" ht="14.25" thickTop="1" x14ac:dyDescent="0.15">
      <c r="A5" s="39" t="s">
        <v>57</v>
      </c>
      <c r="B5" s="45" t="s">
        <v>3</v>
      </c>
      <c r="C5" s="47" t="s">
        <v>53</v>
      </c>
      <c r="D5" s="57" t="s">
        <v>76</v>
      </c>
      <c r="E5" s="58" t="s">
        <v>77</v>
      </c>
      <c r="F5" s="59" t="s">
        <v>78</v>
      </c>
      <c r="G5" s="58" t="s">
        <v>79</v>
      </c>
    </row>
    <row r="6" spans="1:7" ht="14.25" thickBot="1" x14ac:dyDescent="0.2">
      <c r="A6" s="40"/>
      <c r="B6" s="46"/>
      <c r="C6" s="48"/>
      <c r="D6" s="57"/>
      <c r="E6" s="58"/>
      <c r="F6" s="59"/>
      <c r="G6" s="58"/>
    </row>
    <row r="7" spans="1:7" ht="14.25" x14ac:dyDescent="0.2">
      <c r="A7" s="19" t="s">
        <v>58</v>
      </c>
      <c r="B7" s="22">
        <v>1411778724</v>
      </c>
      <c r="C7" s="16">
        <v>100</v>
      </c>
      <c r="D7" s="18"/>
    </row>
    <row r="8" spans="1:7" ht="15" x14ac:dyDescent="0.25">
      <c r="A8" s="20" t="s">
        <v>59</v>
      </c>
      <c r="B8" s="23">
        <v>253383938</v>
      </c>
      <c r="C8" s="17">
        <v>17.95</v>
      </c>
      <c r="D8" s="18"/>
      <c r="F8" s="11">
        <f>SUM([1]出生人口!$B$61:$B$75)*10000</f>
        <v>241470000</v>
      </c>
      <c r="G8" s="60">
        <f>B8-F8</f>
        <v>11913938</v>
      </c>
    </row>
    <row r="9" spans="1:7" ht="15" x14ac:dyDescent="0.25">
      <c r="A9" s="20" t="s">
        <v>60</v>
      </c>
      <c r="B9" s="23">
        <v>894376020</v>
      </c>
      <c r="C9" s="17">
        <v>63.35</v>
      </c>
      <c r="D9" s="55">
        <f>B9*SUM([1]分年龄阶段人口!$AS$18:$AY$18)/SUM([1]分年龄阶段人口!$E$18:$K$18)</f>
        <v>433892745.74126154</v>
      </c>
      <c r="E9" s="56">
        <f>D9*SUM([1]分年龄阶段人口!$AS$18:$AY$18)/SUM([1]分年龄阶段人口!$AS$18:$BA$18)</f>
        <v>330031805.02839255</v>
      </c>
    </row>
    <row r="10" spans="1:7" ht="15" x14ac:dyDescent="0.25">
      <c r="A10" s="20" t="s">
        <v>61</v>
      </c>
      <c r="B10" s="23">
        <v>264018766</v>
      </c>
      <c r="C10" s="17">
        <v>18.7</v>
      </c>
      <c r="D10" s="18"/>
    </row>
    <row r="11" spans="1:7" ht="15" x14ac:dyDescent="0.25">
      <c r="A11" s="21" t="s">
        <v>62</v>
      </c>
      <c r="B11" s="23">
        <v>190635280</v>
      </c>
      <c r="C11" s="17">
        <v>13.5</v>
      </c>
      <c r="D11" s="18"/>
    </row>
    <row r="15" spans="1:7" ht="30" x14ac:dyDescent="0.15">
      <c r="A15" s="1" t="s">
        <v>63</v>
      </c>
    </row>
    <row r="16" spans="1:7" ht="15.75" x14ac:dyDescent="0.15">
      <c r="A16" s="24"/>
    </row>
    <row r="17" spans="1:5" ht="27" thickBot="1" x14ac:dyDescent="0.2">
      <c r="A17" s="3" t="s">
        <v>52</v>
      </c>
    </row>
    <row r="18" spans="1:5" ht="15" thickTop="1" thickBot="1" x14ac:dyDescent="0.2">
      <c r="A18" s="39" t="s">
        <v>2</v>
      </c>
      <c r="B18" s="41" t="s">
        <v>53</v>
      </c>
      <c r="C18" s="50"/>
      <c r="D18" s="50"/>
      <c r="E18" s="50"/>
    </row>
    <row r="19" spans="1:5" ht="15" x14ac:dyDescent="0.15">
      <c r="A19" s="49"/>
      <c r="B19" s="51" t="s">
        <v>59</v>
      </c>
      <c r="C19" s="51" t="s">
        <v>60</v>
      </c>
      <c r="D19" s="53" t="s">
        <v>61</v>
      </c>
      <c r="E19" s="25"/>
    </row>
    <row r="20" spans="1:5" ht="29.25" thickBot="1" x14ac:dyDescent="0.2">
      <c r="A20" s="40"/>
      <c r="B20" s="52"/>
      <c r="C20" s="52"/>
      <c r="D20" s="54"/>
      <c r="E20" s="12" t="s">
        <v>62</v>
      </c>
    </row>
    <row r="21" spans="1:5" ht="14.25" x14ac:dyDescent="0.15">
      <c r="A21" s="26" t="s">
        <v>55</v>
      </c>
      <c r="B21" s="27">
        <v>17.95</v>
      </c>
      <c r="C21" s="27">
        <v>63.35</v>
      </c>
      <c r="D21" s="27">
        <v>18.7</v>
      </c>
      <c r="E21" s="27">
        <v>13.5</v>
      </c>
    </row>
    <row r="22" spans="1:5" ht="15" x14ac:dyDescent="0.25">
      <c r="A22" s="12" t="s">
        <v>8</v>
      </c>
      <c r="B22" s="17">
        <v>11.84</v>
      </c>
      <c r="C22" s="17">
        <v>68.53</v>
      </c>
      <c r="D22" s="17">
        <v>19.63</v>
      </c>
      <c r="E22" s="17">
        <v>13.3</v>
      </c>
    </row>
    <row r="23" spans="1:5" ht="15" x14ac:dyDescent="0.25">
      <c r="A23" s="12" t="s">
        <v>9</v>
      </c>
      <c r="B23" s="17">
        <v>13.47</v>
      </c>
      <c r="C23" s="17">
        <v>64.87</v>
      </c>
      <c r="D23" s="17">
        <v>21.66</v>
      </c>
      <c r="E23" s="17">
        <v>14.75</v>
      </c>
    </row>
    <row r="24" spans="1:5" ht="15" x14ac:dyDescent="0.25">
      <c r="A24" s="12" t="s">
        <v>10</v>
      </c>
      <c r="B24" s="17">
        <v>20.22</v>
      </c>
      <c r="C24" s="17">
        <v>59.92</v>
      </c>
      <c r="D24" s="17">
        <v>19.850000000000001</v>
      </c>
      <c r="E24" s="17">
        <v>13.92</v>
      </c>
    </row>
    <row r="25" spans="1:5" ht="15" x14ac:dyDescent="0.25">
      <c r="A25" s="12" t="s">
        <v>11</v>
      </c>
      <c r="B25" s="17">
        <v>16.350000000000001</v>
      </c>
      <c r="C25" s="17">
        <v>64.72</v>
      </c>
      <c r="D25" s="17">
        <v>18.920000000000002</v>
      </c>
      <c r="E25" s="17">
        <v>12.9</v>
      </c>
    </row>
    <row r="26" spans="1:5" ht="15" x14ac:dyDescent="0.25">
      <c r="A26" s="12" t="s">
        <v>12</v>
      </c>
      <c r="B26" s="17">
        <v>14.04</v>
      </c>
      <c r="C26" s="17">
        <v>66.17</v>
      </c>
      <c r="D26" s="17">
        <v>19.78</v>
      </c>
      <c r="E26" s="17">
        <v>13.05</v>
      </c>
    </row>
    <row r="27" spans="1:5" ht="15" x14ac:dyDescent="0.25">
      <c r="A27" s="12" t="s">
        <v>13</v>
      </c>
      <c r="B27" s="17">
        <v>11.12</v>
      </c>
      <c r="C27" s="17">
        <v>63.16</v>
      </c>
      <c r="D27" s="17">
        <v>25.72</v>
      </c>
      <c r="E27" s="17">
        <v>17.420000000000002</v>
      </c>
    </row>
    <row r="28" spans="1:5" ht="15" x14ac:dyDescent="0.25">
      <c r="A28" s="12" t="s">
        <v>14</v>
      </c>
      <c r="B28" s="17">
        <v>11.71</v>
      </c>
      <c r="C28" s="17">
        <v>65.23</v>
      </c>
      <c r="D28" s="17">
        <v>23.06</v>
      </c>
      <c r="E28" s="17">
        <v>15.61</v>
      </c>
    </row>
    <row r="29" spans="1:5" ht="15" x14ac:dyDescent="0.25">
      <c r="A29" s="12" t="s">
        <v>15</v>
      </c>
      <c r="B29" s="17">
        <v>10.32</v>
      </c>
      <c r="C29" s="17">
        <v>66.459999999999994</v>
      </c>
      <c r="D29" s="17">
        <v>23.22</v>
      </c>
      <c r="E29" s="17">
        <v>15.61</v>
      </c>
    </row>
    <row r="30" spans="1:5" ht="15" x14ac:dyDescent="0.25">
      <c r="A30" s="12" t="s">
        <v>16</v>
      </c>
      <c r="B30" s="17">
        <v>9.8000000000000007</v>
      </c>
      <c r="C30" s="17">
        <v>66.819999999999993</v>
      </c>
      <c r="D30" s="17">
        <v>23.38</v>
      </c>
      <c r="E30" s="17">
        <v>16.28</v>
      </c>
    </row>
    <row r="31" spans="1:5" ht="15" x14ac:dyDescent="0.25">
      <c r="A31" s="12" t="s">
        <v>17</v>
      </c>
      <c r="B31" s="17">
        <v>15.21</v>
      </c>
      <c r="C31" s="17">
        <v>62.95</v>
      </c>
      <c r="D31" s="17">
        <v>21.84</v>
      </c>
      <c r="E31" s="17">
        <v>16.2</v>
      </c>
    </row>
    <row r="32" spans="1:5" ht="15" x14ac:dyDescent="0.25">
      <c r="A32" s="12" t="s">
        <v>18</v>
      </c>
      <c r="B32" s="17">
        <v>13.45</v>
      </c>
      <c r="C32" s="17">
        <v>67.86</v>
      </c>
      <c r="D32" s="17">
        <v>18.7</v>
      </c>
      <c r="E32" s="17">
        <v>13.27</v>
      </c>
    </row>
    <row r="33" spans="1:5" ht="15" x14ac:dyDescent="0.25">
      <c r="A33" s="12" t="s">
        <v>19</v>
      </c>
      <c r="B33" s="17">
        <v>19.239999999999998</v>
      </c>
      <c r="C33" s="17">
        <v>61.96</v>
      </c>
      <c r="D33" s="17">
        <v>18.79</v>
      </c>
      <c r="E33" s="17">
        <v>15.01</v>
      </c>
    </row>
    <row r="34" spans="1:5" ht="15" x14ac:dyDescent="0.25">
      <c r="A34" s="12" t="s">
        <v>20</v>
      </c>
      <c r="B34" s="17">
        <v>19.32</v>
      </c>
      <c r="C34" s="17">
        <v>64.7</v>
      </c>
      <c r="D34" s="17">
        <v>15.98</v>
      </c>
      <c r="E34" s="17">
        <v>11.1</v>
      </c>
    </row>
    <row r="35" spans="1:5" ht="15" x14ac:dyDescent="0.25">
      <c r="A35" s="12" t="s">
        <v>21</v>
      </c>
      <c r="B35" s="17">
        <v>21.96</v>
      </c>
      <c r="C35" s="17">
        <v>61.17</v>
      </c>
      <c r="D35" s="17">
        <v>16.87</v>
      </c>
      <c r="E35" s="17">
        <v>11.89</v>
      </c>
    </row>
    <row r="36" spans="1:5" ht="15" x14ac:dyDescent="0.25">
      <c r="A36" s="12" t="s">
        <v>22</v>
      </c>
      <c r="B36" s="17">
        <v>18.78</v>
      </c>
      <c r="C36" s="17">
        <v>60.32</v>
      </c>
      <c r="D36" s="17">
        <v>20.9</v>
      </c>
      <c r="E36" s="17">
        <v>15.13</v>
      </c>
    </row>
    <row r="37" spans="1:5" ht="15" x14ac:dyDescent="0.25">
      <c r="A37" s="12" t="s">
        <v>23</v>
      </c>
      <c r="B37" s="17">
        <v>23.14</v>
      </c>
      <c r="C37" s="17">
        <v>58.79</v>
      </c>
      <c r="D37" s="17">
        <v>18.079999999999998</v>
      </c>
      <c r="E37" s="17">
        <v>13.49</v>
      </c>
    </row>
    <row r="38" spans="1:5" ht="15" x14ac:dyDescent="0.25">
      <c r="A38" s="12" t="s">
        <v>24</v>
      </c>
      <c r="B38" s="17">
        <v>16.309999999999999</v>
      </c>
      <c r="C38" s="17">
        <v>63.26</v>
      </c>
      <c r="D38" s="17">
        <v>20.420000000000002</v>
      </c>
      <c r="E38" s="17">
        <v>14.59</v>
      </c>
    </row>
    <row r="39" spans="1:5" ht="15" x14ac:dyDescent="0.25">
      <c r="A39" s="12" t="s">
        <v>25</v>
      </c>
      <c r="B39" s="17">
        <v>19.52</v>
      </c>
      <c r="C39" s="17">
        <v>60.6</v>
      </c>
      <c r="D39" s="17">
        <v>19.88</v>
      </c>
      <c r="E39" s="17">
        <v>14.81</v>
      </c>
    </row>
    <row r="40" spans="1:5" ht="15" x14ac:dyDescent="0.25">
      <c r="A40" s="12" t="s">
        <v>26</v>
      </c>
      <c r="B40" s="17">
        <v>18.850000000000001</v>
      </c>
      <c r="C40" s="17">
        <v>68.8</v>
      </c>
      <c r="D40" s="17">
        <v>12.35</v>
      </c>
      <c r="E40" s="17">
        <v>8.58</v>
      </c>
    </row>
    <row r="41" spans="1:5" ht="15" x14ac:dyDescent="0.25">
      <c r="A41" s="12" t="s">
        <v>27</v>
      </c>
      <c r="B41" s="17">
        <v>23.63</v>
      </c>
      <c r="C41" s="17">
        <v>59.69</v>
      </c>
      <c r="D41" s="17">
        <v>16.690000000000001</v>
      </c>
      <c r="E41" s="17">
        <v>12.2</v>
      </c>
    </row>
    <row r="42" spans="1:5" ht="15" x14ac:dyDescent="0.25">
      <c r="A42" s="12" t="s">
        <v>28</v>
      </c>
      <c r="B42" s="17">
        <v>19.97</v>
      </c>
      <c r="C42" s="17">
        <v>65.38</v>
      </c>
      <c r="D42" s="17">
        <v>14.65</v>
      </c>
      <c r="E42" s="17">
        <v>10.43</v>
      </c>
    </row>
    <row r="43" spans="1:5" ht="15" x14ac:dyDescent="0.25">
      <c r="A43" s="12" t="s">
        <v>29</v>
      </c>
      <c r="B43" s="17">
        <v>15.91</v>
      </c>
      <c r="C43" s="17">
        <v>62.22</v>
      </c>
      <c r="D43" s="17">
        <v>21.87</v>
      </c>
      <c r="E43" s="17">
        <v>17.079999999999998</v>
      </c>
    </row>
    <row r="44" spans="1:5" ht="15" x14ac:dyDescent="0.25">
      <c r="A44" s="12" t="s">
        <v>30</v>
      </c>
      <c r="B44" s="17">
        <v>16.100000000000001</v>
      </c>
      <c r="C44" s="17">
        <v>62.19</v>
      </c>
      <c r="D44" s="17">
        <v>21.71</v>
      </c>
      <c r="E44" s="17">
        <v>16.93</v>
      </c>
    </row>
    <row r="45" spans="1:5" ht="15" x14ac:dyDescent="0.25">
      <c r="A45" s="12" t="s">
        <v>31</v>
      </c>
      <c r="B45" s="17">
        <v>23.97</v>
      </c>
      <c r="C45" s="17">
        <v>60.65</v>
      </c>
      <c r="D45" s="17">
        <v>15.38</v>
      </c>
      <c r="E45" s="17">
        <v>11.56</v>
      </c>
    </row>
    <row r="46" spans="1:5" ht="15" x14ac:dyDescent="0.25">
      <c r="A46" s="12" t="s">
        <v>32</v>
      </c>
      <c r="B46" s="17">
        <v>19.57</v>
      </c>
      <c r="C46" s="17">
        <v>65.52</v>
      </c>
      <c r="D46" s="17">
        <v>14.91</v>
      </c>
      <c r="E46" s="17">
        <v>10.75</v>
      </c>
    </row>
    <row r="47" spans="1:5" ht="15" x14ac:dyDescent="0.25">
      <c r="A47" s="12" t="s">
        <v>33</v>
      </c>
      <c r="B47" s="17">
        <v>24.53</v>
      </c>
      <c r="C47" s="17">
        <v>66.95</v>
      </c>
      <c r="D47" s="17">
        <v>8.52</v>
      </c>
      <c r="E47" s="17">
        <v>5.67</v>
      </c>
    </row>
    <row r="48" spans="1:5" ht="15" x14ac:dyDescent="0.25">
      <c r="A48" s="12" t="s">
        <v>34</v>
      </c>
      <c r="B48" s="17">
        <v>17.329999999999998</v>
      </c>
      <c r="C48" s="17">
        <v>63.46</v>
      </c>
      <c r="D48" s="17">
        <v>19.2</v>
      </c>
      <c r="E48" s="17">
        <v>13.32</v>
      </c>
    </row>
    <row r="49" spans="1:5" ht="15" x14ac:dyDescent="0.25">
      <c r="A49" s="12" t="s">
        <v>35</v>
      </c>
      <c r="B49" s="17">
        <v>19.399999999999999</v>
      </c>
      <c r="C49" s="17">
        <v>63.57</v>
      </c>
      <c r="D49" s="17">
        <v>17.03</v>
      </c>
      <c r="E49" s="17">
        <v>12.58</v>
      </c>
    </row>
    <row r="50" spans="1:5" ht="15" x14ac:dyDescent="0.25">
      <c r="A50" s="12" t="s">
        <v>36</v>
      </c>
      <c r="B50" s="17">
        <v>20.81</v>
      </c>
      <c r="C50" s="17">
        <v>67.040000000000006</v>
      </c>
      <c r="D50" s="17">
        <v>12.14</v>
      </c>
      <c r="E50" s="17">
        <v>8.68</v>
      </c>
    </row>
    <row r="51" spans="1:5" ht="15" x14ac:dyDescent="0.25">
      <c r="A51" s="12" t="s">
        <v>37</v>
      </c>
      <c r="B51" s="17">
        <v>20.38</v>
      </c>
      <c r="C51" s="17">
        <v>66.09</v>
      </c>
      <c r="D51" s="17">
        <v>13.52</v>
      </c>
      <c r="E51" s="17">
        <v>9.6199999999999992</v>
      </c>
    </row>
    <row r="52" spans="1:5" ht="15" x14ac:dyDescent="0.25">
      <c r="A52" s="12" t="s">
        <v>38</v>
      </c>
      <c r="B52" s="17">
        <v>22.46</v>
      </c>
      <c r="C52" s="17">
        <v>66.260000000000005</v>
      </c>
      <c r="D52" s="17">
        <v>11.28</v>
      </c>
      <c r="E52" s="17">
        <v>7.76</v>
      </c>
    </row>
    <row r="53" spans="1:5" ht="15.75" x14ac:dyDescent="0.15">
      <c r="A53" s="2"/>
    </row>
  </sheetData>
  <mergeCells count="13">
    <mergeCell ref="F5:F6"/>
    <mergeCell ref="G5:G6"/>
    <mergeCell ref="A5:A6"/>
    <mergeCell ref="B5:B6"/>
    <mergeCell ref="C5:C6"/>
    <mergeCell ref="A2:C2"/>
    <mergeCell ref="A18:A20"/>
    <mergeCell ref="B18:E18"/>
    <mergeCell ref="B19:B20"/>
    <mergeCell ref="C19:C20"/>
    <mergeCell ref="D19:D20"/>
    <mergeCell ref="D5:D6"/>
    <mergeCell ref="E5:E6"/>
  </mergeCells>
  <phoneticPr fontId="1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9"/>
  <sheetViews>
    <sheetView topLeftCell="A4" workbookViewId="0">
      <selection activeCell="N16" sqref="N16"/>
    </sheetView>
  </sheetViews>
  <sheetFormatPr defaultRowHeight="13.5" x14ac:dyDescent="0.15"/>
  <cols>
    <col min="2" max="6" width="12.75" customWidth="1"/>
  </cols>
  <sheetData>
    <row r="3" spans="2:12" ht="14.25" x14ac:dyDescent="0.15">
      <c r="B3" s="36" t="s">
        <v>64</v>
      </c>
      <c r="C3" s="36"/>
      <c r="D3" s="36"/>
      <c r="E3" s="36"/>
      <c r="F3" s="36"/>
      <c r="I3" s="36" t="s">
        <v>72</v>
      </c>
      <c r="J3" s="36"/>
      <c r="K3" s="36"/>
    </row>
    <row r="4" spans="2:12" ht="15.75" x14ac:dyDescent="0.15">
      <c r="B4" s="2"/>
      <c r="I4" s="24"/>
    </row>
    <row r="5" spans="2:12" ht="38.25" customHeight="1" thickBot="1" x14ac:dyDescent="0.2">
      <c r="B5" s="3" t="s">
        <v>65</v>
      </c>
      <c r="I5" s="3" t="s">
        <v>73</v>
      </c>
    </row>
    <row r="6" spans="2:12" ht="15" thickTop="1" x14ac:dyDescent="0.15">
      <c r="B6" s="39" t="s">
        <v>2</v>
      </c>
      <c r="C6" s="13" t="s">
        <v>66</v>
      </c>
      <c r="D6" s="13" t="s">
        <v>68</v>
      </c>
      <c r="E6" s="45" t="s">
        <v>70</v>
      </c>
      <c r="F6" s="47" t="s">
        <v>71</v>
      </c>
      <c r="I6" s="3"/>
    </row>
    <row r="7" spans="2:12" ht="27.75" thickBot="1" x14ac:dyDescent="0.2">
      <c r="B7" s="40"/>
      <c r="C7" s="28" t="s">
        <v>67</v>
      </c>
      <c r="D7" s="28" t="s">
        <v>69</v>
      </c>
      <c r="E7" s="46"/>
      <c r="F7" s="48"/>
      <c r="I7" s="12" t="s">
        <v>2</v>
      </c>
      <c r="J7" s="25" t="s">
        <v>74</v>
      </c>
      <c r="K7" s="25" t="s">
        <v>75</v>
      </c>
    </row>
    <row r="8" spans="2:12" ht="14.25" x14ac:dyDescent="0.2">
      <c r="B8" s="6" t="s">
        <v>55</v>
      </c>
      <c r="C8" s="22">
        <v>15467</v>
      </c>
      <c r="D8" s="22">
        <v>15088</v>
      </c>
      <c r="E8" s="22">
        <v>34507</v>
      </c>
      <c r="F8" s="22">
        <v>24767</v>
      </c>
      <c r="I8" s="26" t="s">
        <v>55</v>
      </c>
      <c r="J8" s="27">
        <v>9.91</v>
      </c>
      <c r="K8" s="27">
        <v>9.08</v>
      </c>
      <c r="L8">
        <f>J8-K8</f>
        <v>0.83000000000000007</v>
      </c>
    </row>
    <row r="9" spans="2:12" ht="15" x14ac:dyDescent="0.25">
      <c r="B9" s="12" t="s">
        <v>8</v>
      </c>
      <c r="C9" s="23">
        <v>41980</v>
      </c>
      <c r="D9" s="23">
        <v>17593</v>
      </c>
      <c r="E9" s="23">
        <v>23289</v>
      </c>
      <c r="F9" s="23">
        <v>10503</v>
      </c>
      <c r="I9" s="12" t="s">
        <v>8</v>
      </c>
      <c r="J9" s="29">
        <v>12.64</v>
      </c>
      <c r="K9" s="29">
        <v>11.71</v>
      </c>
      <c r="L9">
        <f t="shared" ref="L9:L39" si="0">J9-K9</f>
        <v>0.92999999999999972</v>
      </c>
    </row>
    <row r="10" spans="2:12" ht="15" x14ac:dyDescent="0.25">
      <c r="B10" s="12" t="s">
        <v>9</v>
      </c>
      <c r="C10" s="23">
        <v>26940</v>
      </c>
      <c r="D10" s="23">
        <v>17719</v>
      </c>
      <c r="E10" s="23">
        <v>32294</v>
      </c>
      <c r="F10" s="23">
        <v>16123</v>
      </c>
      <c r="I10" s="12" t="s">
        <v>9</v>
      </c>
      <c r="J10" s="29">
        <v>11.29</v>
      </c>
      <c r="K10" s="29">
        <v>10.38</v>
      </c>
      <c r="L10">
        <f t="shared" si="0"/>
        <v>0.90999999999999837</v>
      </c>
    </row>
    <row r="11" spans="2:12" ht="15" x14ac:dyDescent="0.25">
      <c r="B11" s="12" t="s">
        <v>10</v>
      </c>
      <c r="C11" s="23">
        <v>12418</v>
      </c>
      <c r="D11" s="23">
        <v>13861</v>
      </c>
      <c r="E11" s="23">
        <v>39950</v>
      </c>
      <c r="F11" s="23">
        <v>24664</v>
      </c>
      <c r="I11" s="12" t="s">
        <v>10</v>
      </c>
      <c r="J11" s="29">
        <v>9.84</v>
      </c>
      <c r="K11" s="29">
        <v>9.1199999999999992</v>
      </c>
      <c r="L11">
        <f t="shared" si="0"/>
        <v>0.72000000000000064</v>
      </c>
    </row>
    <row r="12" spans="2:12" ht="15" x14ac:dyDescent="0.25">
      <c r="B12" s="12" t="s">
        <v>11</v>
      </c>
      <c r="C12" s="23">
        <v>17358</v>
      </c>
      <c r="D12" s="23">
        <v>16485</v>
      </c>
      <c r="E12" s="23">
        <v>38950</v>
      </c>
      <c r="F12" s="23">
        <v>19506</v>
      </c>
      <c r="I12" s="12" t="s">
        <v>11</v>
      </c>
      <c r="J12" s="29">
        <v>10.45</v>
      </c>
      <c r="K12" s="29">
        <v>9.52</v>
      </c>
      <c r="L12">
        <f t="shared" si="0"/>
        <v>0.92999999999999972</v>
      </c>
    </row>
    <row r="13" spans="2:12" ht="15" x14ac:dyDescent="0.25">
      <c r="B13" s="12" t="s">
        <v>12</v>
      </c>
      <c r="C13" s="23">
        <v>18688</v>
      </c>
      <c r="D13" s="23">
        <v>14814</v>
      </c>
      <c r="E13" s="23">
        <v>33861</v>
      </c>
      <c r="F13" s="23">
        <v>23627</v>
      </c>
      <c r="I13" s="12" t="s">
        <v>12</v>
      </c>
      <c r="J13" s="29">
        <v>10.08</v>
      </c>
      <c r="K13" s="29">
        <v>9.2200000000000006</v>
      </c>
      <c r="L13">
        <f t="shared" si="0"/>
        <v>0.85999999999999943</v>
      </c>
    </row>
    <row r="14" spans="2:12" ht="15" x14ac:dyDescent="0.25">
      <c r="B14" s="12" t="s">
        <v>13</v>
      </c>
      <c r="C14" s="23">
        <v>18216</v>
      </c>
      <c r="D14" s="23">
        <v>14670</v>
      </c>
      <c r="E14" s="23">
        <v>42799</v>
      </c>
      <c r="F14" s="23">
        <v>18888</v>
      </c>
      <c r="I14" s="12" t="s">
        <v>13</v>
      </c>
      <c r="J14" s="29">
        <v>10.34</v>
      </c>
      <c r="K14" s="29">
        <v>9.67</v>
      </c>
      <c r="L14">
        <f t="shared" si="0"/>
        <v>0.66999999999999993</v>
      </c>
    </row>
    <row r="15" spans="2:12" ht="15" x14ac:dyDescent="0.25">
      <c r="B15" s="12" t="s">
        <v>14</v>
      </c>
      <c r="C15" s="23">
        <v>16738</v>
      </c>
      <c r="D15" s="23">
        <v>17080</v>
      </c>
      <c r="E15" s="23">
        <v>38234</v>
      </c>
      <c r="F15" s="23">
        <v>22318</v>
      </c>
      <c r="I15" s="12" t="s">
        <v>14</v>
      </c>
      <c r="J15" s="29">
        <v>10.17</v>
      </c>
      <c r="K15" s="29">
        <v>9.49</v>
      </c>
      <c r="L15">
        <f t="shared" si="0"/>
        <v>0.67999999999999972</v>
      </c>
    </row>
    <row r="16" spans="2:12" ht="15" x14ac:dyDescent="0.25">
      <c r="B16" s="12" t="s">
        <v>15</v>
      </c>
      <c r="C16" s="23">
        <v>14793</v>
      </c>
      <c r="D16" s="23">
        <v>15525</v>
      </c>
      <c r="E16" s="23">
        <v>42793</v>
      </c>
      <c r="F16" s="23">
        <v>21863</v>
      </c>
      <c r="I16" s="12" t="s">
        <v>15</v>
      </c>
      <c r="J16" s="29">
        <v>9.93</v>
      </c>
      <c r="K16" s="29">
        <v>9.36</v>
      </c>
      <c r="L16">
        <f t="shared" si="0"/>
        <v>0.57000000000000028</v>
      </c>
    </row>
    <row r="17" spans="2:12" ht="15" x14ac:dyDescent="0.25">
      <c r="B17" s="12" t="s">
        <v>16</v>
      </c>
      <c r="C17" s="23">
        <v>33872</v>
      </c>
      <c r="D17" s="23">
        <v>19020</v>
      </c>
      <c r="E17" s="23">
        <v>28935</v>
      </c>
      <c r="F17" s="23">
        <v>11929</v>
      </c>
      <c r="I17" s="12" t="s">
        <v>16</v>
      </c>
      <c r="J17" s="29">
        <v>11.81</v>
      </c>
      <c r="K17" s="29">
        <v>10.73</v>
      </c>
      <c r="L17">
        <f t="shared" si="0"/>
        <v>1.08</v>
      </c>
    </row>
    <row r="18" spans="2:12" ht="15" x14ac:dyDescent="0.25">
      <c r="B18" s="12" t="s">
        <v>17</v>
      </c>
      <c r="C18" s="23">
        <v>18663</v>
      </c>
      <c r="D18" s="23">
        <v>16191</v>
      </c>
      <c r="E18" s="23">
        <v>33308</v>
      </c>
      <c r="F18" s="23">
        <v>22742</v>
      </c>
      <c r="I18" s="12" t="s">
        <v>17</v>
      </c>
      <c r="J18" s="29">
        <v>10.210000000000001</v>
      </c>
      <c r="K18" s="29">
        <v>9.32</v>
      </c>
      <c r="L18">
        <f t="shared" si="0"/>
        <v>0.89000000000000057</v>
      </c>
    </row>
    <row r="19" spans="2:12" ht="15" x14ac:dyDescent="0.25">
      <c r="B19" s="12" t="s">
        <v>18</v>
      </c>
      <c r="C19" s="23">
        <v>16990</v>
      </c>
      <c r="D19" s="23">
        <v>14555</v>
      </c>
      <c r="E19" s="23">
        <v>32706</v>
      </c>
      <c r="F19" s="23">
        <v>26384</v>
      </c>
      <c r="I19" s="12" t="s">
        <v>18</v>
      </c>
      <c r="J19" s="29">
        <v>9.7899999999999991</v>
      </c>
      <c r="K19" s="29">
        <v>8.7899999999999991</v>
      </c>
      <c r="L19">
        <f t="shared" si="0"/>
        <v>1</v>
      </c>
    </row>
    <row r="20" spans="2:12" ht="15" x14ac:dyDescent="0.25">
      <c r="B20" s="12" t="s">
        <v>19</v>
      </c>
      <c r="C20" s="23">
        <v>13280</v>
      </c>
      <c r="D20" s="23">
        <v>13294</v>
      </c>
      <c r="E20" s="23">
        <v>33724</v>
      </c>
      <c r="F20" s="23">
        <v>26875</v>
      </c>
      <c r="I20" s="12" t="s">
        <v>19</v>
      </c>
      <c r="J20" s="29">
        <v>9.35</v>
      </c>
      <c r="K20" s="29">
        <v>8.2799999999999994</v>
      </c>
      <c r="L20">
        <f t="shared" si="0"/>
        <v>1.0700000000000003</v>
      </c>
    </row>
    <row r="21" spans="2:12" ht="15" x14ac:dyDescent="0.25">
      <c r="B21" s="12" t="s">
        <v>20</v>
      </c>
      <c r="C21" s="23">
        <v>14148</v>
      </c>
      <c r="D21" s="23">
        <v>14212</v>
      </c>
      <c r="E21" s="23">
        <v>32218</v>
      </c>
      <c r="F21" s="23">
        <v>28031</v>
      </c>
      <c r="I21" s="12" t="s">
        <v>20</v>
      </c>
      <c r="J21" s="29">
        <v>9.66</v>
      </c>
      <c r="K21" s="29">
        <v>9.02</v>
      </c>
      <c r="L21">
        <f t="shared" si="0"/>
        <v>0.64000000000000057</v>
      </c>
    </row>
    <row r="22" spans="2:12" ht="15" x14ac:dyDescent="0.25">
      <c r="B22" s="12" t="s">
        <v>21</v>
      </c>
      <c r="C22" s="23">
        <v>11897</v>
      </c>
      <c r="D22" s="23">
        <v>15145</v>
      </c>
      <c r="E22" s="23">
        <v>35501</v>
      </c>
      <c r="F22" s="23">
        <v>27514</v>
      </c>
      <c r="I22" s="12" t="s">
        <v>21</v>
      </c>
      <c r="J22" s="29">
        <v>9.6999999999999993</v>
      </c>
      <c r="K22" s="29">
        <v>8.86</v>
      </c>
      <c r="L22">
        <f t="shared" si="0"/>
        <v>0.83999999999999986</v>
      </c>
    </row>
    <row r="23" spans="2:12" ht="15" x14ac:dyDescent="0.25">
      <c r="B23" s="12" t="s">
        <v>22</v>
      </c>
      <c r="C23" s="23">
        <v>14384</v>
      </c>
      <c r="D23" s="23">
        <v>14334</v>
      </c>
      <c r="E23" s="23">
        <v>35778</v>
      </c>
      <c r="F23" s="23">
        <v>23693</v>
      </c>
      <c r="I23" s="12" t="s">
        <v>22</v>
      </c>
      <c r="J23" s="29">
        <v>9.75</v>
      </c>
      <c r="K23" s="29">
        <v>8.9700000000000006</v>
      </c>
      <c r="L23">
        <f t="shared" si="0"/>
        <v>0.77999999999999936</v>
      </c>
    </row>
    <row r="24" spans="2:12" ht="15" x14ac:dyDescent="0.25">
      <c r="B24" s="12" t="s">
        <v>23</v>
      </c>
      <c r="C24" s="23">
        <v>11744</v>
      </c>
      <c r="D24" s="23">
        <v>15239</v>
      </c>
      <c r="E24" s="23">
        <v>37518</v>
      </c>
      <c r="F24" s="23">
        <v>24557</v>
      </c>
      <c r="I24" s="12" t="s">
        <v>23</v>
      </c>
      <c r="J24" s="29">
        <v>9.7899999999999991</v>
      </c>
      <c r="K24" s="29">
        <v>8.9499999999999993</v>
      </c>
      <c r="L24">
        <f t="shared" si="0"/>
        <v>0.83999999999999986</v>
      </c>
    </row>
    <row r="25" spans="2:12" ht="15" x14ac:dyDescent="0.25">
      <c r="B25" s="12" t="s">
        <v>24</v>
      </c>
      <c r="C25" s="23">
        <v>15502</v>
      </c>
      <c r="D25" s="23">
        <v>17428</v>
      </c>
      <c r="E25" s="23">
        <v>34280</v>
      </c>
      <c r="F25" s="23">
        <v>23520</v>
      </c>
      <c r="I25" s="12" t="s">
        <v>24</v>
      </c>
      <c r="J25" s="29">
        <v>10.02</v>
      </c>
      <c r="K25" s="29">
        <v>9.1999999999999993</v>
      </c>
      <c r="L25">
        <f t="shared" si="0"/>
        <v>0.82000000000000028</v>
      </c>
    </row>
    <row r="26" spans="2:12" ht="15" x14ac:dyDescent="0.25">
      <c r="B26" s="12" t="s">
        <v>25</v>
      </c>
      <c r="C26" s="23">
        <v>12239</v>
      </c>
      <c r="D26" s="23">
        <v>17776</v>
      </c>
      <c r="E26" s="23">
        <v>35636</v>
      </c>
      <c r="F26" s="23">
        <v>25214</v>
      </c>
      <c r="I26" s="12" t="s">
        <v>25</v>
      </c>
      <c r="J26" s="29">
        <v>9.8800000000000008</v>
      </c>
      <c r="K26" s="29">
        <v>9.16</v>
      </c>
      <c r="L26">
        <f t="shared" si="0"/>
        <v>0.72000000000000064</v>
      </c>
    </row>
    <row r="27" spans="2:12" ht="15" x14ac:dyDescent="0.25">
      <c r="B27" s="12" t="s">
        <v>26</v>
      </c>
      <c r="C27" s="23">
        <v>15699</v>
      </c>
      <c r="D27" s="23">
        <v>18224</v>
      </c>
      <c r="E27" s="23">
        <v>35484</v>
      </c>
      <c r="F27" s="23">
        <v>20676</v>
      </c>
      <c r="I27" s="12" t="s">
        <v>26</v>
      </c>
      <c r="J27" s="29">
        <v>10.38</v>
      </c>
      <c r="K27" s="29">
        <v>9.5500000000000007</v>
      </c>
      <c r="L27">
        <f t="shared" si="0"/>
        <v>0.83000000000000007</v>
      </c>
    </row>
    <row r="28" spans="2:12" ht="15" x14ac:dyDescent="0.25">
      <c r="B28" s="12" t="s">
        <v>27</v>
      </c>
      <c r="C28" s="23">
        <v>10806</v>
      </c>
      <c r="D28" s="23">
        <v>12962</v>
      </c>
      <c r="E28" s="23">
        <v>36388</v>
      </c>
      <c r="F28" s="23">
        <v>27855</v>
      </c>
      <c r="I28" s="12" t="s">
        <v>27</v>
      </c>
      <c r="J28" s="29">
        <v>9.5399999999999991</v>
      </c>
      <c r="K28" s="29">
        <v>8.76</v>
      </c>
      <c r="L28">
        <f t="shared" si="0"/>
        <v>0.77999999999999936</v>
      </c>
    </row>
    <row r="29" spans="2:12" ht="15" x14ac:dyDescent="0.25">
      <c r="B29" s="12" t="s">
        <v>28</v>
      </c>
      <c r="C29" s="23">
        <v>13919</v>
      </c>
      <c r="D29" s="23">
        <v>15561</v>
      </c>
      <c r="E29" s="23">
        <v>40174</v>
      </c>
      <c r="F29" s="23">
        <v>19701</v>
      </c>
      <c r="I29" s="12" t="s">
        <v>28</v>
      </c>
      <c r="J29" s="29">
        <v>10.1</v>
      </c>
      <c r="K29" s="29">
        <v>9.2200000000000006</v>
      </c>
      <c r="L29">
        <f t="shared" si="0"/>
        <v>0.87999999999999901</v>
      </c>
    </row>
    <row r="30" spans="2:12" ht="15" x14ac:dyDescent="0.25">
      <c r="B30" s="12" t="s">
        <v>29</v>
      </c>
      <c r="C30" s="23">
        <v>15412</v>
      </c>
      <c r="D30" s="23">
        <v>15956</v>
      </c>
      <c r="E30" s="23">
        <v>30582</v>
      </c>
      <c r="F30" s="23">
        <v>29894</v>
      </c>
      <c r="I30" s="12" t="s">
        <v>29</v>
      </c>
      <c r="J30" s="29">
        <v>9.8000000000000007</v>
      </c>
      <c r="K30" s="29">
        <v>8.75</v>
      </c>
      <c r="L30">
        <f t="shared" si="0"/>
        <v>1.0500000000000007</v>
      </c>
    </row>
    <row r="31" spans="2:12" ht="15" x14ac:dyDescent="0.25">
      <c r="B31" s="12" t="s">
        <v>30</v>
      </c>
      <c r="C31" s="23">
        <v>13267</v>
      </c>
      <c r="D31" s="23">
        <v>13301</v>
      </c>
      <c r="E31" s="23">
        <v>31443</v>
      </c>
      <c r="F31" s="23">
        <v>31317</v>
      </c>
      <c r="I31" s="12" t="s">
        <v>30</v>
      </c>
      <c r="J31" s="29">
        <v>9.24</v>
      </c>
      <c r="K31" s="29">
        <v>8.35</v>
      </c>
      <c r="L31">
        <f t="shared" si="0"/>
        <v>0.89000000000000057</v>
      </c>
    </row>
    <row r="32" spans="2:12" ht="15" x14ac:dyDescent="0.25">
      <c r="B32" s="12" t="s">
        <v>31</v>
      </c>
      <c r="C32" s="23">
        <v>10952</v>
      </c>
      <c r="D32" s="23">
        <v>9951</v>
      </c>
      <c r="E32" s="23">
        <v>30464</v>
      </c>
      <c r="F32" s="23">
        <v>31921</v>
      </c>
      <c r="I32" s="12" t="s">
        <v>31</v>
      </c>
      <c r="J32" s="29">
        <v>8.75</v>
      </c>
      <c r="K32" s="29">
        <v>7.65</v>
      </c>
      <c r="L32">
        <f t="shared" si="0"/>
        <v>1.0999999999999996</v>
      </c>
    </row>
    <row r="33" spans="2:12" ht="15" x14ac:dyDescent="0.25">
      <c r="B33" s="12" t="s">
        <v>32</v>
      </c>
      <c r="C33" s="23">
        <v>11601</v>
      </c>
      <c r="D33" s="23">
        <v>10338</v>
      </c>
      <c r="E33" s="23">
        <v>29241</v>
      </c>
      <c r="F33" s="23">
        <v>35667</v>
      </c>
      <c r="I33" s="12" t="s">
        <v>32</v>
      </c>
      <c r="J33" s="29">
        <v>8.82</v>
      </c>
      <c r="K33" s="29">
        <v>7.76</v>
      </c>
      <c r="L33">
        <f t="shared" si="0"/>
        <v>1.0600000000000005</v>
      </c>
    </row>
    <row r="34" spans="2:12" ht="15" x14ac:dyDescent="0.25">
      <c r="B34" s="12" t="s">
        <v>33</v>
      </c>
      <c r="C34" s="23">
        <v>11019</v>
      </c>
      <c r="D34" s="23">
        <v>7051</v>
      </c>
      <c r="E34" s="23">
        <v>15757</v>
      </c>
      <c r="F34" s="23">
        <v>32108</v>
      </c>
      <c r="I34" s="12" t="s">
        <v>33</v>
      </c>
      <c r="J34" s="29">
        <v>6.75</v>
      </c>
      <c r="K34" s="29">
        <v>5.25</v>
      </c>
      <c r="L34">
        <f t="shared" si="0"/>
        <v>1.5</v>
      </c>
    </row>
    <row r="35" spans="2:12" ht="15" x14ac:dyDescent="0.25">
      <c r="B35" s="12" t="s">
        <v>34</v>
      </c>
      <c r="C35" s="23">
        <v>18397</v>
      </c>
      <c r="D35" s="23">
        <v>15581</v>
      </c>
      <c r="E35" s="23">
        <v>33979</v>
      </c>
      <c r="F35" s="23">
        <v>21686</v>
      </c>
      <c r="I35" s="12" t="s">
        <v>34</v>
      </c>
      <c r="J35" s="29">
        <v>10.26</v>
      </c>
      <c r="K35" s="29">
        <v>9.36</v>
      </c>
      <c r="L35">
        <f t="shared" si="0"/>
        <v>0.90000000000000036</v>
      </c>
    </row>
    <row r="36" spans="2:12" ht="15" x14ac:dyDescent="0.25">
      <c r="B36" s="12" t="s">
        <v>35</v>
      </c>
      <c r="C36" s="23">
        <v>14506</v>
      </c>
      <c r="D36" s="23">
        <v>12937</v>
      </c>
      <c r="E36" s="23">
        <v>27423</v>
      </c>
      <c r="F36" s="23">
        <v>29808</v>
      </c>
      <c r="I36" s="12" t="s">
        <v>35</v>
      </c>
      <c r="J36" s="29">
        <v>9.1300000000000008</v>
      </c>
      <c r="K36" s="29">
        <v>8.19</v>
      </c>
      <c r="L36">
        <f t="shared" si="0"/>
        <v>0.94000000000000128</v>
      </c>
    </row>
    <row r="37" spans="2:12" ht="15" x14ac:dyDescent="0.25">
      <c r="B37" s="12" t="s">
        <v>36</v>
      </c>
      <c r="C37" s="23">
        <v>14880</v>
      </c>
      <c r="D37" s="23">
        <v>10568</v>
      </c>
      <c r="E37" s="23">
        <v>24344</v>
      </c>
      <c r="F37" s="23">
        <v>32725</v>
      </c>
      <c r="I37" s="12" t="s">
        <v>36</v>
      </c>
      <c r="J37" s="29">
        <v>8.85</v>
      </c>
      <c r="K37" s="29">
        <v>7.85</v>
      </c>
      <c r="L37">
        <f t="shared" si="0"/>
        <v>1</v>
      </c>
    </row>
    <row r="38" spans="2:12" ht="15" x14ac:dyDescent="0.25">
      <c r="B38" s="12" t="s">
        <v>37</v>
      </c>
      <c r="C38" s="23">
        <v>17340</v>
      </c>
      <c r="D38" s="23">
        <v>13432</v>
      </c>
      <c r="E38" s="23">
        <v>29717</v>
      </c>
      <c r="F38" s="23">
        <v>26111</v>
      </c>
      <c r="I38" s="12" t="s">
        <v>37</v>
      </c>
      <c r="J38" s="29">
        <v>9.81</v>
      </c>
      <c r="K38" s="29">
        <v>8.82</v>
      </c>
      <c r="L38">
        <f t="shared" si="0"/>
        <v>0.99000000000000021</v>
      </c>
    </row>
    <row r="39" spans="2:12" ht="15" x14ac:dyDescent="0.25">
      <c r="B39" s="12" t="s">
        <v>38</v>
      </c>
      <c r="C39" s="23">
        <v>16536</v>
      </c>
      <c r="D39" s="23">
        <v>13208</v>
      </c>
      <c r="E39" s="23">
        <v>31559</v>
      </c>
      <c r="F39" s="23">
        <v>28405</v>
      </c>
      <c r="I39" s="12" t="s">
        <v>38</v>
      </c>
      <c r="J39" s="29">
        <v>10.11</v>
      </c>
      <c r="K39" s="29">
        <v>9.27</v>
      </c>
      <c r="L39">
        <f t="shared" si="0"/>
        <v>0.83999999999999986</v>
      </c>
    </row>
  </sheetData>
  <mergeCells count="5">
    <mergeCell ref="B6:B7"/>
    <mergeCell ref="E6:E7"/>
    <mergeCell ref="F6:F7"/>
    <mergeCell ref="B3:F3"/>
    <mergeCell ref="I3:K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表1-全国总人口</vt:lpstr>
      <vt:lpstr>表3-1各地区人口</vt:lpstr>
      <vt:lpstr>表4-1各地区人口性别构成</vt:lpstr>
      <vt:lpstr>表5全国及各地区人口年龄结构</vt:lpstr>
      <vt:lpstr>表6受教育情况</vt:lpstr>
    </vt:vector>
  </TitlesOfParts>
  <Company>CMB China HeadOffice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Haiming Tan</dc:creator>
  <cp:lastModifiedBy>Haiming Tan</cp:lastModifiedBy>
  <dcterms:created xsi:type="dcterms:W3CDTF">2021-08-01T04:15:05Z</dcterms:created>
  <dcterms:modified xsi:type="dcterms:W3CDTF">2021-08-01T09:58:43Z</dcterms:modified>
</cp:coreProperties>
</file>